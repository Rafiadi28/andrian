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G:\ANALISA ADRIAN\2025\11 NOVEMBER 2025\UMUM\DYAH RETNO S - ALFAMART - ANGGI\"/>
    </mc:Choice>
  </mc:AlternateContent>
  <xr:revisionPtr revIDLastSave="0" documentId="13_ncr:1_{F6E56939-802A-4D54-A1B6-4AF9CE4F088F}" xr6:coauthVersionLast="47" xr6:coauthVersionMax="47" xr10:uidLastSave="{00000000-0000-0000-0000-000000000000}"/>
  <bookViews>
    <workbookView xWindow="-120" yWindow="-120" windowWidth="21840" windowHeight="13140" tabRatio="834" xr2:uid="{00000000-000D-0000-FFFF-FFFF00000000}"/>
  </bookViews>
  <sheets>
    <sheet name="DATA AWAL NASABAH" sheetId="13" r:id="rId1"/>
    <sheet name="ANALISIS" sheetId="7" r:id="rId2"/>
    <sheet name="KOMITE TEMPO MENURUN" sheetId="24" r:id="rId3"/>
    <sheet name="KOMITE TEMPO" sheetId="21" r:id="rId4"/>
    <sheet name="KOMITE FLAT" sheetId="9" r:id="rId5"/>
    <sheet name="ADENDUM" sheetId="25" r:id="rId6"/>
    <sheet name="KOMITE ANUITAS" sheetId="12" r:id="rId7"/>
    <sheet name="TANAH BANGUNAN" sheetId="1" r:id="rId8"/>
    <sheet name="KENDARAAN" sheetId="2" r:id="rId9"/>
    <sheet name="KIOS" sheetId="3" r:id="rId10"/>
    <sheet name="CDD TDK SDRHN" sheetId="10" r:id="rId11"/>
    <sheet name="PEMANTAUAN JULI 24" sheetId="26" state="hidden" r:id="rId12"/>
    <sheet name="NERACA" sheetId="6" r:id="rId13"/>
    <sheet name="6 C" sheetId="20" r:id="rId14"/>
    <sheet name="SCORE" sheetId="8" r:id="rId15"/>
    <sheet name="DENAH RUMAH" sheetId="15" r:id="rId16"/>
    <sheet name="BA NEGOSIASI" sheetId="23" r:id="rId17"/>
    <sheet name="DEPOSITO" sheetId="5" r:id="rId18"/>
    <sheet name="CASH FLOW" sheetId="16" r:id="rId19"/>
    <sheet name="CDD SDHRN" sheetId="11" r:id="rId20"/>
    <sheet name="Sheet3" sheetId="18" r:id="rId21"/>
  </sheets>
  <definedNames>
    <definedName name="_xlnm.Print_Area" localSheetId="13">'6 C'!$A$1:$N$42</definedName>
    <definedName name="_xlnm.Print_Area" localSheetId="5">ADENDUM!$A$1:$K$70</definedName>
    <definedName name="_xlnm.Print_Area" localSheetId="1">ANALISIS!$A$1:$I$55</definedName>
    <definedName name="_xlnm.Print_Area" localSheetId="16">'BA NEGOSIASI'!$A$1:$M$52</definedName>
    <definedName name="_xlnm.Print_Area" localSheetId="18">'CASH FLOW'!$B$1:$K$55</definedName>
    <definedName name="_xlnm.Print_Area" localSheetId="10">'CDD TDK SDRHN'!$A$1:$K$105</definedName>
    <definedName name="_xlnm.Print_Area" localSheetId="15">'DENAH RUMAH'!$A$26:$N$49</definedName>
    <definedName name="_xlnm.Print_Area" localSheetId="17">DEPOSITO!$A$1:$G$39</definedName>
    <definedName name="_xlnm.Print_Area" localSheetId="8">KENDARAAN!$J$1:$R$52</definedName>
    <definedName name="_xlnm.Print_Area" localSheetId="9">KIOS!$I$1:$O$37</definedName>
    <definedName name="_xlnm.Print_Area" localSheetId="6">'KOMITE ANUITAS'!$A$1:$K$70</definedName>
    <definedName name="_xlnm.Print_Area" localSheetId="4">'KOMITE FLAT'!$A$1:$K$72</definedName>
    <definedName name="_xlnm.Print_Area" localSheetId="3">'KOMITE TEMPO'!$A$1:$J$93</definedName>
    <definedName name="_xlnm.Print_Area" localSheetId="2">'KOMITE TEMPO MENURUN'!$A$1:$J$79</definedName>
    <definedName name="_xlnm.Print_Area" localSheetId="12">NERACA!$A$1:$F$64</definedName>
    <definedName name="_xlnm.Print_Area" localSheetId="11">'PEMANTAUAN JULI 24'!$A$1:$G$30</definedName>
    <definedName name="_xlnm.Print_Area" localSheetId="14">SCORE!$A$1:$N$35</definedName>
    <definedName name="_xlnm.Print_Area" localSheetId="7">'TANAH BANGUNAN'!$J$72:$R$143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8" i="6" l="1"/>
  <c r="AA56" i="6"/>
  <c r="Y59" i="1" l="1"/>
  <c r="W59" i="1"/>
  <c r="B124" i="1" s="1"/>
  <c r="K142" i="1"/>
  <c r="C41" i="6"/>
  <c r="F51" i="6"/>
  <c r="P65" i="6"/>
  <c r="P66" i="6"/>
  <c r="P67" i="6"/>
  <c r="P69" i="6"/>
  <c r="P70" i="6"/>
  <c r="J65" i="6"/>
  <c r="J66" i="6"/>
  <c r="J67" i="6"/>
  <c r="J68" i="6"/>
  <c r="J69" i="6"/>
  <c r="J70" i="6"/>
  <c r="AA58" i="6"/>
  <c r="F18" i="6"/>
  <c r="K22" i="6"/>
  <c r="K30" i="6" s="1"/>
  <c r="K23" i="6"/>
  <c r="K31" i="6" s="1"/>
  <c r="K21" i="6"/>
  <c r="K29" i="6" s="1"/>
  <c r="O63" i="1"/>
  <c r="M63" i="1"/>
  <c r="M62" i="1"/>
  <c r="D62" i="1"/>
  <c r="D11" i="24"/>
  <c r="H147" i="1" l="1"/>
  <c r="H146" i="1"/>
  <c r="O148" i="1"/>
  <c r="O147" i="1"/>
  <c r="J71" i="6" l="1"/>
  <c r="T92" i="6"/>
  <c r="H19" i="20" l="1"/>
  <c r="I15" i="21" l="1"/>
  <c r="U88" i="6" l="1"/>
  <c r="U87" i="6"/>
  <c r="U81" i="6"/>
  <c r="U80" i="6"/>
  <c r="U89" i="6" l="1"/>
  <c r="U82" i="6"/>
  <c r="E24" i="26"/>
  <c r="E28" i="26" s="1"/>
  <c r="D24" i="26"/>
  <c r="E9" i="26"/>
  <c r="E13" i="26" s="1"/>
  <c r="D9" i="26"/>
  <c r="B28" i="26"/>
  <c r="B13" i="26"/>
  <c r="T91" i="6" l="1"/>
  <c r="T93" i="6" s="1"/>
  <c r="U31" i="6"/>
  <c r="H28" i="7" l="1"/>
  <c r="H29" i="7"/>
  <c r="H30" i="7"/>
  <c r="H31" i="7"/>
  <c r="F28" i="7"/>
  <c r="F29" i="7"/>
  <c r="F30" i="7"/>
  <c r="F31" i="7"/>
  <c r="B62" i="1" l="1"/>
  <c r="B134" i="1" s="1"/>
  <c r="V41" i="1"/>
  <c r="T40" i="1"/>
  <c r="T116" i="1"/>
  <c r="T115" i="1"/>
  <c r="T111" i="1"/>
  <c r="T110" i="1"/>
  <c r="U23" i="6"/>
  <c r="U15" i="6"/>
  <c r="U14" i="6"/>
  <c r="T32" i="6"/>
  <c r="T33" i="6" s="1"/>
  <c r="R32" i="6"/>
  <c r="R33" i="6" s="1"/>
  <c r="Q32" i="6"/>
  <c r="Q33" i="6" s="1"/>
  <c r="P32" i="6"/>
  <c r="P33" i="6" s="1"/>
  <c r="L32" i="6"/>
  <c r="L33" i="6" s="1"/>
  <c r="S32" i="6"/>
  <c r="S33" i="6" s="1"/>
  <c r="O32" i="6"/>
  <c r="O33" i="6" s="1"/>
  <c r="U30" i="6"/>
  <c r="U29" i="6"/>
  <c r="T24" i="6"/>
  <c r="T25" i="6" s="1"/>
  <c r="R24" i="6"/>
  <c r="R25" i="6" s="1"/>
  <c r="Q24" i="6"/>
  <c r="Q25" i="6" s="1"/>
  <c r="P24" i="6"/>
  <c r="P25" i="6" s="1"/>
  <c r="S24" i="6"/>
  <c r="S25" i="6" s="1"/>
  <c r="O24" i="6"/>
  <c r="O25" i="6" s="1"/>
  <c r="L24" i="6"/>
  <c r="L25" i="6" s="1"/>
  <c r="U22" i="6"/>
  <c r="U21" i="6"/>
  <c r="T16" i="6"/>
  <c r="T17" i="6" s="1"/>
  <c r="R16" i="6"/>
  <c r="R17" i="6" s="1"/>
  <c r="Q16" i="6"/>
  <c r="Q17" i="6" s="1"/>
  <c r="P16" i="6"/>
  <c r="P17" i="6" s="1"/>
  <c r="S16" i="6"/>
  <c r="S17" i="6" s="1"/>
  <c r="O16" i="6"/>
  <c r="O17" i="6" s="1"/>
  <c r="L16" i="6"/>
  <c r="L17" i="6" s="1"/>
  <c r="U13" i="6"/>
  <c r="K62" i="1" l="1"/>
  <c r="K134" i="1" s="1"/>
  <c r="U32" i="6"/>
  <c r="U33" i="6" s="1"/>
  <c r="U16" i="6"/>
  <c r="U17" i="6" s="1"/>
  <c r="U24" i="6"/>
  <c r="U25" i="6" s="1"/>
  <c r="AA37" i="6" l="1"/>
  <c r="AA38" i="6" s="1"/>
  <c r="B60" i="24" l="1"/>
  <c r="AI56" i="6" l="1"/>
  <c r="I19" i="24" l="1"/>
  <c r="AI58" i="6" l="1"/>
  <c r="AM52" i="6" l="1"/>
  <c r="AM53" i="6"/>
  <c r="Q117" i="1"/>
  <c r="O117" i="1"/>
  <c r="M116" i="1"/>
  <c r="K116" i="1"/>
  <c r="Q113" i="1"/>
  <c r="M113" i="1"/>
  <c r="M78" i="1"/>
  <c r="H117" i="1"/>
  <c r="F117" i="1"/>
  <c r="D116" i="1"/>
  <c r="B116" i="1"/>
  <c r="H113" i="1"/>
  <c r="D113" i="1"/>
  <c r="D78" i="1"/>
  <c r="Q118" i="1" l="1"/>
  <c r="M118" i="1"/>
  <c r="M119" i="1" s="1"/>
  <c r="H118" i="1"/>
  <c r="D118" i="1"/>
  <c r="J16" i="25"/>
  <c r="D10" i="21" l="1"/>
  <c r="D12" i="24" s="1"/>
  <c r="D119" i="1"/>
  <c r="H120" i="1"/>
  <c r="H119" i="1"/>
  <c r="D11" i="21"/>
  <c r="Q119" i="1"/>
  <c r="K124" i="1"/>
  <c r="Q120" i="1"/>
  <c r="M120" i="1"/>
  <c r="D120" i="1"/>
  <c r="H24" i="23"/>
  <c r="AC14" i="6"/>
  <c r="AE14" i="6" s="1"/>
  <c r="AC13" i="6"/>
  <c r="AE13" i="6" s="1"/>
  <c r="AC11" i="6"/>
  <c r="AE11" i="6" s="1"/>
  <c r="AC10" i="6"/>
  <c r="AE10" i="6" s="1"/>
  <c r="M41" i="1"/>
  <c r="D41" i="1"/>
  <c r="H9" i="7" l="1"/>
  <c r="D13" i="24"/>
  <c r="D12" i="21"/>
  <c r="D14" i="24" s="1"/>
  <c r="K147" i="1"/>
  <c r="AI59" i="6"/>
  <c r="AI62" i="6" s="1"/>
  <c r="N14" i="25"/>
  <c r="I8" i="25"/>
  <c r="B36" i="25"/>
  <c r="D16" i="25"/>
  <c r="I16" i="25" s="1"/>
  <c r="D15" i="25"/>
  <c r="I15" i="25" s="1"/>
  <c r="D14" i="25"/>
  <c r="I14" i="25" s="1"/>
  <c r="D10" i="25"/>
  <c r="I10" i="25" s="1"/>
  <c r="D9" i="25"/>
  <c r="I9" i="25" s="1"/>
  <c r="D8" i="25"/>
  <c r="D4" i="25"/>
  <c r="D2" i="25"/>
  <c r="H38" i="20" l="1"/>
  <c r="H10" i="7"/>
  <c r="AM66" i="6"/>
  <c r="AM68" i="6" s="1"/>
  <c r="AM64" i="6"/>
  <c r="I20" i="25"/>
  <c r="D20" i="25"/>
  <c r="J10" i="20" l="1"/>
  <c r="D10" i="12"/>
  <c r="AE42" i="6" l="1"/>
  <c r="D32" i="7"/>
  <c r="D7" i="1"/>
  <c r="D18" i="24" l="1"/>
  <c r="D17" i="24"/>
  <c r="D16" i="24"/>
  <c r="D15" i="24"/>
  <c r="H12" i="24" s="1"/>
  <c r="D10" i="24"/>
  <c r="D4" i="24"/>
  <c r="D2" i="24"/>
  <c r="D21" i="24" l="1"/>
  <c r="D4" i="8"/>
  <c r="H22" i="23" l="1"/>
  <c r="H21" i="23"/>
  <c r="H20" i="23"/>
  <c r="F14" i="23"/>
  <c r="F12" i="23"/>
  <c r="F11" i="23"/>
  <c r="E6" i="23"/>
  <c r="K40" i="23" s="1"/>
  <c r="O53" i="23"/>
  <c r="H17" i="7" l="1"/>
  <c r="D14" i="9" l="1"/>
  <c r="D13" i="9"/>
  <c r="D18" i="21" l="1"/>
  <c r="D16" i="21"/>
  <c r="D15" i="21"/>
  <c r="D14" i="21"/>
  <c r="D13" i="21"/>
  <c r="H10" i="21" s="1"/>
  <c r="D8" i="21"/>
  <c r="D4" i="21"/>
  <c r="D2" i="21"/>
  <c r="D19" i="21" l="1"/>
  <c r="D32" i="21"/>
  <c r="D15" i="9"/>
  <c r="D9" i="9"/>
  <c r="D8" i="9"/>
  <c r="D20" i="21" l="1"/>
  <c r="D21" i="21" s="1"/>
  <c r="D22" i="21" s="1"/>
  <c r="D23" i="21" s="1"/>
  <c r="D24" i="21" s="1"/>
  <c r="D25" i="21" s="1"/>
  <c r="D26" i="21" s="1"/>
  <c r="D27" i="21" s="1"/>
  <c r="D28" i="21" s="1"/>
  <c r="D29" i="21" s="1"/>
  <c r="D30" i="21" s="1"/>
  <c r="H11" i="13"/>
  <c r="E31" i="10" s="1"/>
  <c r="D31" i="21" l="1"/>
  <c r="D33" i="21" s="1"/>
  <c r="E16" i="10"/>
  <c r="E15" i="10"/>
  <c r="B10" i="13" l="1"/>
  <c r="D3" i="24" s="1"/>
  <c r="D3" i="21" l="1"/>
  <c r="F13" i="23"/>
  <c r="M7" i="1"/>
  <c r="P64" i="6" l="1"/>
  <c r="P71" i="6" s="1"/>
  <c r="J64" i="6"/>
  <c r="H39" i="7" l="1"/>
  <c r="D9" i="12"/>
  <c r="H27" i="7"/>
  <c r="H35" i="7" s="1"/>
  <c r="F27" i="7"/>
  <c r="B27" i="7"/>
  <c r="AE35" i="6"/>
  <c r="AE33" i="6"/>
  <c r="AE32" i="6"/>
  <c r="AE25" i="6"/>
  <c r="AF25" i="6" s="1"/>
  <c r="AE23" i="6"/>
  <c r="AE22" i="6"/>
  <c r="C7" i="13"/>
  <c r="E9" i="13" s="1"/>
  <c r="C3" i="13"/>
  <c r="E5" i="13" s="1"/>
  <c r="D20" i="13"/>
  <c r="B21" i="13"/>
  <c r="D3" i="25" s="1"/>
  <c r="B9" i="13"/>
  <c r="B5" i="13" s="1"/>
  <c r="AE36" i="6" l="1"/>
  <c r="AE27" i="6"/>
  <c r="AE26" i="6"/>
  <c r="E3" i="13"/>
  <c r="D7" i="13"/>
  <c r="D3" i="13"/>
  <c r="E4" i="13"/>
  <c r="E7" i="13"/>
  <c r="E8" i="13"/>
  <c r="L26" i="8"/>
  <c r="D39" i="7" l="1"/>
  <c r="AE28" i="6"/>
  <c r="H39" i="20"/>
  <c r="H30" i="8"/>
  <c r="H29" i="8"/>
  <c r="H28" i="8"/>
  <c r="H45" i="1"/>
  <c r="F45" i="1"/>
  <c r="D44" i="1"/>
  <c r="B44" i="1"/>
  <c r="H41" i="1"/>
  <c r="D5" i="8"/>
  <c r="D3" i="8"/>
  <c r="D2" i="8"/>
  <c r="C3" i="20"/>
  <c r="C26" i="20" s="1"/>
  <c r="C2" i="20"/>
  <c r="C25" i="20" s="1"/>
  <c r="C1" i="20"/>
  <c r="C24" i="20" s="1"/>
  <c r="H35" i="20"/>
  <c r="G35" i="20"/>
  <c r="F35" i="20"/>
  <c r="E35" i="20"/>
  <c r="D35" i="20"/>
  <c r="H15" i="20"/>
  <c r="G15" i="20"/>
  <c r="F15" i="20"/>
  <c r="E15" i="20"/>
  <c r="D15" i="20"/>
  <c r="B49" i="9"/>
  <c r="M24" i="2"/>
  <c r="M23" i="2"/>
  <c r="J17" i="9"/>
  <c r="J16" i="12"/>
  <c r="Q14" i="2"/>
  <c r="Q12" i="2"/>
  <c r="Q13" i="2"/>
  <c r="H13" i="2" s="1"/>
  <c r="Q11" i="2"/>
  <c r="H11" i="2" s="1"/>
  <c r="M6" i="2"/>
  <c r="M5" i="2"/>
  <c r="D5" i="2" s="1"/>
  <c r="M4" i="2"/>
  <c r="D4" i="2" s="1"/>
  <c r="H9" i="2" s="1"/>
  <c r="D33" i="2"/>
  <c r="B44" i="12"/>
  <c r="D8" i="12"/>
  <c r="P52" i="6"/>
  <c r="M33" i="2"/>
  <c r="M50" i="2"/>
  <c r="D50" i="2" s="1"/>
  <c r="K50" i="2"/>
  <c r="B50" i="2" s="1"/>
  <c r="A31" i="5"/>
  <c r="K49" i="2"/>
  <c r="B49" i="2" s="1"/>
  <c r="A49" i="3"/>
  <c r="D41" i="11"/>
  <c r="K44" i="1"/>
  <c r="O45" i="1"/>
  <c r="H46" i="1" l="1"/>
  <c r="H47" i="1" s="1"/>
  <c r="D46" i="1"/>
  <c r="D6" i="2"/>
  <c r="D26" i="2" s="1"/>
  <c r="M26" i="2"/>
  <c r="H12" i="2"/>
  <c r="Q10" i="2"/>
  <c r="H10" i="2" s="1"/>
  <c r="D27" i="7"/>
  <c r="C35" i="20"/>
  <c r="C15" i="20"/>
  <c r="B58" i="20" s="1"/>
  <c r="B8" i="8" s="1"/>
  <c r="D7" i="7"/>
  <c r="D14" i="12"/>
  <c r="H10" i="12" s="1"/>
  <c r="Y55" i="1" l="1"/>
  <c r="B52" i="1" s="1"/>
  <c r="D47" i="1"/>
  <c r="C19" i="6"/>
  <c r="C52" i="6" s="1"/>
  <c r="H48" i="1"/>
  <c r="D48" i="1"/>
  <c r="D35" i="7"/>
  <c r="AA42" i="6"/>
  <c r="AA73" i="6" s="1"/>
  <c r="B61" i="20"/>
  <c r="K8" i="8" s="1"/>
  <c r="E22" i="8" s="1"/>
  <c r="I22" i="8" s="1"/>
  <c r="P6" i="8"/>
  <c r="P9" i="8" s="1"/>
  <c r="E19" i="8"/>
  <c r="I19" i="8" s="1"/>
  <c r="M6" i="1"/>
  <c r="D6" i="1" s="1"/>
  <c r="D77" i="1" s="1"/>
  <c r="M77" i="1" s="1"/>
  <c r="M5" i="1"/>
  <c r="D5" i="1" s="1"/>
  <c r="D76" i="1" s="1"/>
  <c r="M76" i="1" s="1"/>
  <c r="M4" i="1"/>
  <c r="D4" i="1" s="1"/>
  <c r="D75" i="1" s="1"/>
  <c r="D5" i="7"/>
  <c r="H21" i="7"/>
  <c r="D22" i="7"/>
  <c r="D21" i="7"/>
  <c r="D20" i="7"/>
  <c r="H16" i="7"/>
  <c r="H15" i="7"/>
  <c r="H14" i="7"/>
  <c r="H8" i="7"/>
  <c r="H7" i="7"/>
  <c r="H6" i="7"/>
  <c r="H5" i="7"/>
  <c r="D9" i="7"/>
  <c r="D8" i="7"/>
  <c r="D6" i="7"/>
  <c r="D16" i="12"/>
  <c r="D19" i="12"/>
  <c r="D17" i="12"/>
  <c r="D15" i="12"/>
  <c r="B102" i="10"/>
  <c r="I95" i="10"/>
  <c r="E42" i="10"/>
  <c r="E41" i="10"/>
  <c r="E38" i="10"/>
  <c r="E37" i="10"/>
  <c r="E32" i="10"/>
  <c r="E30" i="10"/>
  <c r="E29" i="10"/>
  <c r="E20" i="10"/>
  <c r="E14" i="10"/>
  <c r="E11" i="10"/>
  <c r="E10" i="10"/>
  <c r="E8" i="10"/>
  <c r="M75" i="1" l="1"/>
  <c r="M88" i="1" s="1"/>
  <c r="D88" i="1"/>
  <c r="H38" i="7"/>
  <c r="H40" i="7" s="1"/>
  <c r="D20" i="12"/>
  <c r="AA54" i="6"/>
  <c r="D41" i="7" l="1"/>
  <c r="D42" i="7" s="1"/>
  <c r="A41" i="11"/>
  <c r="E14" i="18"/>
  <c r="I49" i="3"/>
  <c r="K8" i="6"/>
  <c r="K6" i="3" l="1"/>
  <c r="E39" i="10"/>
  <c r="C6" i="5"/>
  <c r="C6" i="3"/>
  <c r="O36" i="3" l="1"/>
  <c r="O37" i="3" s="1"/>
  <c r="M44" i="1"/>
  <c r="M46" i="1" l="1"/>
  <c r="I11" i="25" l="1"/>
  <c r="M47" i="1"/>
  <c r="D11" i="12"/>
  <c r="M48" i="1"/>
  <c r="D10" i="9"/>
  <c r="K6" i="6"/>
  <c r="D38" i="7" l="1"/>
  <c r="D40" i="7" s="1"/>
  <c r="D2" i="12"/>
  <c r="G36" i="3" l="1"/>
  <c r="G37" i="3" s="1"/>
  <c r="K35" i="3"/>
  <c r="K36" i="3" s="1"/>
  <c r="J31" i="16" l="1"/>
  <c r="E32" i="16" s="1"/>
  <c r="J26" i="16"/>
  <c r="E27" i="16" s="1"/>
  <c r="J16" i="16"/>
  <c r="E17" i="16" s="1"/>
  <c r="D12" i="16"/>
  <c r="D17" i="16" s="1"/>
  <c r="D27" i="16" s="1"/>
  <c r="D32" i="16" s="1"/>
  <c r="J11" i="16"/>
  <c r="E12" i="16" s="1"/>
  <c r="J6" i="16"/>
  <c r="E7" i="16" s="1"/>
  <c r="Q45" i="1"/>
  <c r="Q41" i="1"/>
  <c r="Q46" i="1" l="1"/>
  <c r="J34" i="16"/>
  <c r="F34" i="16" s="1"/>
  <c r="K7" i="6"/>
  <c r="K5" i="6"/>
  <c r="H10" i="9"/>
  <c r="D4" i="12"/>
  <c r="D2" i="9"/>
  <c r="W40" i="15"/>
  <c r="D18" i="9"/>
  <c r="E27" i="11"/>
  <c r="E21" i="11"/>
  <c r="E23" i="11" s="1"/>
  <c r="E20" i="11"/>
  <c r="E22" i="11" s="1"/>
  <c r="E19" i="11"/>
  <c r="E18" i="11"/>
  <c r="E14" i="11"/>
  <c r="E13" i="11"/>
  <c r="E11" i="11"/>
  <c r="E10" i="11"/>
  <c r="C5" i="5"/>
  <c r="C4" i="5"/>
  <c r="C5" i="3"/>
  <c r="K5" i="3" s="1"/>
  <c r="C4" i="3"/>
  <c r="D16" i="9"/>
  <c r="B39" i="7"/>
  <c r="C35" i="3"/>
  <c r="T46" i="1" l="1"/>
  <c r="Q47" i="1"/>
  <c r="Q48" i="1"/>
  <c r="D12" i="25"/>
  <c r="I12" i="25" s="1"/>
  <c r="C20" i="6"/>
  <c r="C53" i="6" s="1"/>
  <c r="D11" i="9"/>
  <c r="D12" i="12"/>
  <c r="D4" i="9"/>
  <c r="D20" i="9"/>
  <c r="Q9" i="2"/>
  <c r="K4" i="3"/>
  <c r="C36" i="3"/>
  <c r="D19" i="9"/>
  <c r="D3" i="12"/>
  <c r="D10" i="7"/>
  <c r="K145" i="1" l="1"/>
  <c r="W55" i="1"/>
  <c r="K52" i="1" s="1"/>
  <c r="D12" i="9"/>
  <c r="B63" i="6"/>
  <c r="B30" i="6"/>
  <c r="F26" i="6" s="1"/>
  <c r="F30" i="6" s="1"/>
  <c r="D13" i="25"/>
  <c r="I13" i="25" s="1"/>
  <c r="D13" i="12"/>
  <c r="D21" i="9"/>
  <c r="D3" i="9"/>
  <c r="J9" i="20"/>
  <c r="J12" i="20" s="1"/>
  <c r="B49" i="20" s="1"/>
  <c r="F8" i="8" s="1"/>
  <c r="E20" i="8" s="1"/>
  <c r="I20" i="8" s="1"/>
  <c r="F59" i="6" l="1"/>
  <c r="F63" i="6" s="1"/>
  <c r="H18" i="20"/>
  <c r="H20" i="20" s="1"/>
  <c r="B52" i="20" s="1"/>
  <c r="I8" i="8" s="1"/>
  <c r="E21" i="8" s="1"/>
  <c r="I21" i="8" s="1"/>
  <c r="M38" i="20"/>
  <c r="B55" i="20" s="1"/>
  <c r="M8" i="8" s="1"/>
  <c r="E23" i="8" s="1"/>
  <c r="I23" i="8" s="1"/>
  <c r="I24" i="8" l="1"/>
  <c r="H26" i="8" s="1"/>
  <c r="K39" i="8" l="1"/>
</calcChain>
</file>

<file path=xl/sharedStrings.xml><?xml version="1.0" encoding="utf-8"?>
<sst xmlns="http://schemas.openxmlformats.org/spreadsheetml/2006/main" count="2699" uniqueCount="775">
  <si>
    <t>PD. BPR BANK WONOSOBO</t>
  </si>
  <si>
    <t>LAPORAN HASIL PENILAIAN TANAH DAN BANGUNAN</t>
  </si>
  <si>
    <t>PENGUSUL</t>
  </si>
  <si>
    <t>INVESTIGATOR</t>
  </si>
  <si>
    <t>MENYETUJUI</t>
  </si>
  <si>
    <t>AGUS MJ</t>
  </si>
  <si>
    <t xml:space="preserve">YUFIANDY </t>
  </si>
  <si>
    <t>EKO NUGROHO, SE</t>
  </si>
  <si>
    <t xml:space="preserve">Account Officer </t>
  </si>
  <si>
    <t>Kasi Kredit</t>
  </si>
  <si>
    <t>Kadiv. Marketing</t>
  </si>
  <si>
    <t>Direktur</t>
  </si>
  <si>
    <t>Direktur Utama</t>
  </si>
  <si>
    <t>(…………………………….)</t>
  </si>
  <si>
    <t>Komisaris</t>
  </si>
  <si>
    <t>BATAS TANAH</t>
  </si>
  <si>
    <t>Nama Debitur</t>
  </si>
  <si>
    <t>No HP</t>
  </si>
  <si>
    <t>Tgl Pemeriksaan</t>
  </si>
  <si>
    <t>Alamat Agunan</t>
  </si>
  <si>
    <t>Kelurahan</t>
  </si>
  <si>
    <t>Kabupaten</t>
  </si>
  <si>
    <t>Kecamatan</t>
  </si>
  <si>
    <t>Lebar Jalan Masuk</t>
  </si>
  <si>
    <t>Depan</t>
  </si>
  <si>
    <t>Belakang</t>
  </si>
  <si>
    <t>Kiri</t>
  </si>
  <si>
    <t>Kanan</t>
  </si>
  <si>
    <t>Berlaku sampai Dengan</t>
  </si>
  <si>
    <t>No IMB</t>
  </si>
  <si>
    <t>Akta Jual Beli / Nomor</t>
  </si>
  <si>
    <t>Ditempati Oleh</t>
  </si>
  <si>
    <t>Dasar Menempati</t>
  </si>
  <si>
    <t>Bentuk Tanah</t>
  </si>
  <si>
    <t xml:space="preserve">Jenis Tanah </t>
  </si>
  <si>
    <t>Listrik (KWH)</t>
  </si>
  <si>
    <t>PDAM / Sumur</t>
  </si>
  <si>
    <t>Lantai</t>
  </si>
  <si>
    <t>Dinding</t>
  </si>
  <si>
    <t>Kusen</t>
  </si>
  <si>
    <t>Atap</t>
  </si>
  <si>
    <t>Angkutan Umum</t>
  </si>
  <si>
    <t>Pasar</t>
  </si>
  <si>
    <t>Sekolah</t>
  </si>
  <si>
    <t>Rumah sakit / Puskesmas</t>
  </si>
  <si>
    <t>Tempat Hiburan</t>
  </si>
  <si>
    <t>Perkantoran</t>
  </si>
  <si>
    <t>Pertokoan</t>
  </si>
  <si>
    <t>Sarana Olah Raga</t>
  </si>
  <si>
    <t>HASIL PENILAIAN</t>
  </si>
  <si>
    <t>Luas Bangunan</t>
  </si>
  <si>
    <t>Nilai Taksasi</t>
  </si>
  <si>
    <t>TOTAL NILAI TAKSASI</t>
  </si>
  <si>
    <t>Luas Tanah (M2)</t>
  </si>
  <si>
    <t>Harga Tanah per m2</t>
  </si>
  <si>
    <t>Harga Bangunanper m2</t>
  </si>
  <si>
    <t>NILAI LIKUIDASI BANK (75%)</t>
  </si>
  <si>
    <t>LOKASI</t>
  </si>
  <si>
    <t>STATUS TANAH DAN BANGUNAN</t>
  </si>
  <si>
    <t>KEADAAN TANAH</t>
  </si>
  <si>
    <t xml:space="preserve"> KEADAAN BANGUNAN</t>
  </si>
  <si>
    <t>SARANA UMUM</t>
  </si>
  <si>
    <t>PENDAPAT PEMERIKSA TENTANG KONDISI AGUNAN</t>
  </si>
  <si>
    <t>:</t>
  </si>
  <si>
    <t>TRI HIDAYAT, SE, Msi</t>
  </si>
  <si>
    <t>KOMPONEN BANGUNAN</t>
  </si>
  <si>
    <t>Jenis Bangunan / Bertingkat</t>
  </si>
  <si>
    <t>Dikeluarkan Oleh / Tgl</t>
  </si>
  <si>
    <t>Penggunaan saat Ini</t>
  </si>
  <si>
    <t>TH Dibangun / Renovasi</t>
  </si>
  <si>
    <t>SUMBER INFORMASI SPPT</t>
  </si>
  <si>
    <t>SUMBER INFORMASI MASYARAKAT</t>
  </si>
  <si>
    <t>Jenis</t>
  </si>
  <si>
    <t>Merk/type</t>
  </si>
  <si>
    <t>Tahun/Warna</t>
  </si>
  <si>
    <t>No Polisi</t>
  </si>
  <si>
    <t>Atas nama</t>
  </si>
  <si>
    <t>Alamat</t>
  </si>
  <si>
    <t>No BPKB</t>
  </si>
  <si>
    <t>No Rangka</t>
  </si>
  <si>
    <t>No Mesin</t>
  </si>
  <si>
    <t>Masa berlaku STNK</t>
  </si>
  <si>
    <t>Fungsi sehari hari</t>
  </si>
  <si>
    <t>Faktur</t>
  </si>
  <si>
    <t>LAPORAN HASIL PENILAIAN KENDARAAN BERMOTOR</t>
  </si>
  <si>
    <t>Nama Pemilik BPKB</t>
  </si>
  <si>
    <t>Alamat BPKB</t>
  </si>
  <si>
    <t>Dusun</t>
  </si>
  <si>
    <t>kelurahan</t>
  </si>
  <si>
    <t>Kota</t>
  </si>
  <si>
    <t>Nama Pemilik saat Ini</t>
  </si>
  <si>
    <t>Alamat Pemilik</t>
  </si>
  <si>
    <t>Tanggal Pembelian Kendaraan berdasarkan Kwitansi / jual beli terakhir</t>
  </si>
  <si>
    <t>DATA PEMILIK AGUNAN</t>
  </si>
  <si>
    <t>SPESIFIKASI AGUNAN</t>
  </si>
  <si>
    <t>TANGGAL PENGECEKAN</t>
  </si>
  <si>
    <t>GESEKAN NO MESIN</t>
  </si>
  <si>
    <t>GESEKAN NO RANGKA</t>
  </si>
  <si>
    <t>Dewan Pengawas</t>
  </si>
  <si>
    <t>SYAMSUDIN</t>
  </si>
  <si>
    <t>Drs. EKO SUTRISNO W, MM</t>
  </si>
  <si>
    <t>BATAS KIOS</t>
  </si>
  <si>
    <t>Lebar Jalan</t>
  </si>
  <si>
    <t>Nama Pasar</t>
  </si>
  <si>
    <t>Lokasi Kios (blok/No)</t>
  </si>
  <si>
    <t>Jenis Agunan</t>
  </si>
  <si>
    <t>Nomor Agunan</t>
  </si>
  <si>
    <t>Alamat Pemilik Agunan</t>
  </si>
  <si>
    <t>Nama Pemilik Agunan</t>
  </si>
  <si>
    <t>Masa Berlaku Kios</t>
  </si>
  <si>
    <t>sampai dengan</t>
  </si>
  <si>
    <t>SUMBER INFORMASI</t>
  </si>
  <si>
    <t>Harga Kios per m2</t>
  </si>
  <si>
    <t>LAPORAN HASIL PENILAIAN KIOS/ DASARAN/ LOS/ SEJENIS LAINNYA</t>
  </si>
  <si>
    <t>Rt / Rw</t>
  </si>
  <si>
    <t>Hubungan Dengan Debitur</t>
  </si>
  <si>
    <t>Nomor Bilyet</t>
  </si>
  <si>
    <t>Tanggal Penerbitan</t>
  </si>
  <si>
    <t>Tanggal Jatuh Tempo</t>
  </si>
  <si>
    <t>Nilai Nomonal Deposito</t>
  </si>
  <si>
    <t>Nilai Likuidasi Bank 90%</t>
  </si>
  <si>
    <t>Bank Penerbit</t>
  </si>
  <si>
    <t>Lokasi Bank Penerbit</t>
  </si>
  <si>
    <t>LAPORAN HASIL PENILAIAN DEPOSITO</t>
  </si>
  <si>
    <t>KETERANGAN KENDARAAN</t>
  </si>
  <si>
    <t xml:space="preserve">Kami telah melakukan peninjauan terhadap objek di atas, dan menurut kami Deposito tersebut LAYAK untuk dijadikan agunan kredit pada PD. BPR BANK WONOSOBO dengan plafon kredit (sebagai pertimbangan collateral) maksimal adalah Rp.......................................Kami yakin bahwa objek yang dinilai adalah yang dimaksudkan oleh bank dan penilaian didasarkan pada data yang tersedia Hasil penilaian tidak dipengaruhi oleh kepentingan pribadi baik langsung maupun tidak langsung 
</t>
  </si>
  <si>
    <t>KAS</t>
  </si>
  <si>
    <t>AKTIVA</t>
  </si>
  <si>
    <t>PASIVA</t>
  </si>
  <si>
    <t>ALAMAT</t>
  </si>
  <si>
    <t>PENDAPATAN</t>
  </si>
  <si>
    <t>PENDAPATAN BERSIH</t>
  </si>
  <si>
    <t>KONDISI KEUANGAN DEBITUR</t>
  </si>
  <si>
    <t>NAMA</t>
  </si>
  <si>
    <t>PENGELUARAN</t>
  </si>
  <si>
    <t>TOTAL PENDAPATAN</t>
  </si>
  <si>
    <t>TOTAL PENGELUARAN</t>
  </si>
  <si>
    <t>SISA BERSIH</t>
  </si>
  <si>
    <t>Tanggal</t>
  </si>
  <si>
    <t>CAPACITY</t>
  </si>
  <si>
    <t>CAPITAL</t>
  </si>
  <si>
    <t>CONDITION OF ECONOMY</t>
  </si>
  <si>
    <t>COLATERAL</t>
  </si>
  <si>
    <t>PENILAIAN</t>
  </si>
  <si>
    <t xml:space="preserve">PENILAIAN </t>
  </si>
  <si>
    <t>BOBOT</t>
  </si>
  <si>
    <t>NILAI</t>
  </si>
  <si>
    <t>SGT BAIK</t>
  </si>
  <si>
    <t>BAIK</t>
  </si>
  <si>
    <t>125-149</t>
  </si>
  <si>
    <t>CKP BAIK</t>
  </si>
  <si>
    <t>100-124</t>
  </si>
  <si>
    <t>KRG BAIK</t>
  </si>
  <si>
    <t>75-99</t>
  </si>
  <si>
    <t>TDK BAIK</t>
  </si>
  <si>
    <t>KESIMPULAN AKHIR</t>
  </si>
  <si>
    <t>ASPEK</t>
  </si>
  <si>
    <t>SCORE</t>
  </si>
  <si>
    <t>KEPUTUSAN</t>
  </si>
  <si>
    <t>CHARACTER</t>
  </si>
  <si>
    <t>LAYAK SEKALI</t>
  </si>
  <si>
    <t>4 - 4.9</t>
  </si>
  <si>
    <t>LAYAK</t>
  </si>
  <si>
    <t>3 - 3.9</t>
  </si>
  <si>
    <t>LAYAK DENGAN CATATAN</t>
  </si>
  <si>
    <t>COLLATERAL</t>
  </si>
  <si>
    <t xml:space="preserve">&lt; 2.9 </t>
  </si>
  <si>
    <t>DITOLAK</t>
  </si>
  <si>
    <t>JUMLAH</t>
  </si>
  <si>
    <t>CATATAN</t>
  </si>
  <si>
    <t>LAYAK / TIDAK LAYAK DIBERI KREDIT DENGAN MAKSIMAL</t>
  </si>
  <si>
    <t>TIDAK LAYAK</t>
  </si>
  <si>
    <t>PINJAMAN SEBESAR</t>
  </si>
  <si>
    <t>JANGKA WAKTU</t>
  </si>
  <si>
    <t>BUNGA</t>
  </si>
  <si>
    <t>Pekerjaan</t>
  </si>
  <si>
    <t>Plafon</t>
  </si>
  <si>
    <t>Jangka Waktu</t>
  </si>
  <si>
    <t>Dilingkungan Kerja</t>
  </si>
  <si>
    <t>Dilingkungan Tinggal</t>
  </si>
  <si>
    <t>Gaya Hidup</t>
  </si>
  <si>
    <t>Indikasi Karakter</t>
  </si>
  <si>
    <t>Nama Istri/Suami</t>
  </si>
  <si>
    <t>Pekerjaan Istri/Suami</t>
  </si>
  <si>
    <t>Jumlah Tanggungan</t>
  </si>
  <si>
    <t>Alamat Sekarang</t>
  </si>
  <si>
    <t>DATA NASABAH</t>
  </si>
  <si>
    <t>DATA SUAMI/ISTRI NASABAH</t>
  </si>
  <si>
    <t>NO HP</t>
  </si>
  <si>
    <t>Alamat tempat kerja</t>
  </si>
  <si>
    <t>KETERANGAN TEMPAT USAHA</t>
  </si>
  <si>
    <t>Nama Perusahaan</t>
  </si>
  <si>
    <t>Bidang Usaha</t>
  </si>
  <si>
    <t>Alamat Usaha</t>
  </si>
  <si>
    <t>Status Usaha</t>
  </si>
  <si>
    <t>Lama Usaha</t>
  </si>
  <si>
    <t>Telp/fax</t>
  </si>
  <si>
    <t>DATA KEUANGAN DEBITUR</t>
  </si>
  <si>
    <t>PENDAPATAN USAHA</t>
  </si>
  <si>
    <t>Tujuan Penggunaan</t>
  </si>
  <si>
    <t>Nilai Jaminan</t>
  </si>
  <si>
    <t>PENDAPATAN BERSIH USAHA</t>
  </si>
  <si>
    <t xml:space="preserve">PENGELUARAN </t>
  </si>
  <si>
    <t>Rumah Tangga</t>
  </si>
  <si>
    <t>Angsuran</t>
  </si>
  <si>
    <t>INFORMASI KARAKTER DEBITUR</t>
  </si>
  <si>
    <t>FOTO</t>
  </si>
  <si>
    <t>KEPUTUSAN KOMITE KREDIT</t>
  </si>
  <si>
    <t>CATATAN:</t>
  </si>
  <si>
    <t>Suku bunga</t>
  </si>
  <si>
    <t>Jaminan</t>
  </si>
  <si>
    <t>Pengambilan ke</t>
  </si>
  <si>
    <t>Sistem angsuran</t>
  </si>
  <si>
    <t>Angsuran Pokok</t>
  </si>
  <si>
    <t>Angsuran Bunga</t>
  </si>
  <si>
    <t>Jml Angsuran</t>
  </si>
  <si>
    <t>Tujuan penggunaan</t>
  </si>
  <si>
    <t>DISETUJUI</t>
  </si>
  <si>
    <t>1.</t>
  </si>
  <si>
    <t>Jenis Bangunan / tingkat</t>
  </si>
  <si>
    <t>Permukaan tanah dr Jalan</t>
  </si>
  <si>
    <t>Jenis Surat Tanah / No</t>
  </si>
  <si>
    <t>Atas Nama</t>
  </si>
  <si>
    <t>PENGKINIAN DATA</t>
  </si>
  <si>
    <t>Walk In Customer</t>
  </si>
  <si>
    <t>BARU</t>
  </si>
  <si>
    <t>DATA PRIBADI/ PERORANGAN</t>
  </si>
  <si>
    <t>C.ID</t>
  </si>
  <si>
    <t>Nama lengkap</t>
  </si>
  <si>
    <t>jenis kelamin</t>
  </si>
  <si>
    <t>Laki laki</t>
  </si>
  <si>
    <t>Perempuan</t>
  </si>
  <si>
    <t>Tempat, tanggal lahir</t>
  </si>
  <si>
    <t>Nama gadis ibu kandung</t>
  </si>
  <si>
    <t>Status</t>
  </si>
  <si>
    <t>Menikah</t>
  </si>
  <si>
    <t>Belum menikah</t>
  </si>
  <si>
    <t>Jenis identitas diri</t>
  </si>
  <si>
    <t>KTP</t>
  </si>
  <si>
    <t>Kartu Pelajar</t>
  </si>
  <si>
    <t>Paspor</t>
  </si>
  <si>
    <t>Nomor Identitas</t>
  </si>
  <si>
    <t>Alamat sesuai identitas</t>
  </si>
  <si>
    <t>Alamat tempat tinggal saat ini</t>
  </si>
  <si>
    <t>No Telp rumah</t>
  </si>
  <si>
    <t>Status tempat tinggal saat ini</t>
  </si>
  <si>
    <t>Milik sendiri</t>
  </si>
  <si>
    <t>Orang Tua</t>
  </si>
  <si>
    <t>Dinas</t>
  </si>
  <si>
    <t>Lainnya</t>
  </si>
  <si>
    <t>Alamat Email</t>
  </si>
  <si>
    <t>-</t>
  </si>
  <si>
    <t>Kewarganegaraan</t>
  </si>
  <si>
    <t>WNI</t>
  </si>
  <si>
    <t>WNA, Sebutkan………………………………………………………….</t>
  </si>
  <si>
    <t>Kependudukan</t>
  </si>
  <si>
    <t>Penduduk</t>
  </si>
  <si>
    <t>Bukan Penduduk</t>
  </si>
  <si>
    <t>Pendidikan terahir</t>
  </si>
  <si>
    <t>SD</t>
  </si>
  <si>
    <t>SMP/SMA</t>
  </si>
  <si>
    <t>Akademi/D3</t>
  </si>
  <si>
    <t>S1/S2</t>
  </si>
  <si>
    <t>S3</t>
  </si>
  <si>
    <t>Lainnya………………………...</t>
  </si>
  <si>
    <t>Tujuan bertransaksi</t>
  </si>
  <si>
    <t>Kredit</t>
  </si>
  <si>
    <t>Tab/Deposito</t>
  </si>
  <si>
    <t>AHLI WARIS</t>
  </si>
  <si>
    <t>Nama</t>
  </si>
  <si>
    <t>Tempat tanggal lahir</t>
  </si>
  <si>
    <t>Hubungan dengan Nasabah</t>
  </si>
  <si>
    <t>Ayah/Ibu</t>
  </si>
  <si>
    <t>Suami/Istri</t>
  </si>
  <si>
    <t>Anak</t>
  </si>
  <si>
    <t>No telp</t>
  </si>
  <si>
    <t>DATA PEKERJAAN DAN PENGHASILAN</t>
  </si>
  <si>
    <t>Nama perusahaan/instansi</t>
  </si>
  <si>
    <t>Alamat perusahaan/instansi</t>
  </si>
  <si>
    <t>No telp kantor</t>
  </si>
  <si>
    <t>No Faximile kantor</t>
  </si>
  <si>
    <t>Ext:</t>
  </si>
  <si>
    <t>Departemen/Bagian</t>
  </si>
  <si>
    <t>Jabatan</t>
  </si>
  <si>
    <t>Bidang</t>
  </si>
  <si>
    <t>Industri/Pabrik</t>
  </si>
  <si>
    <t>Konstruksi/Properti</t>
  </si>
  <si>
    <t>Guru/Dosen</t>
  </si>
  <si>
    <t>Perdagangan/Retail</t>
  </si>
  <si>
    <t>Pemerintahan</t>
  </si>
  <si>
    <t>Industri Keuangan</t>
  </si>
  <si>
    <t>Peternakan/Perikanan</t>
  </si>
  <si>
    <t>Pertanian/Perkebunan</t>
  </si>
  <si>
    <t>Militer</t>
  </si>
  <si>
    <t>Profesi</t>
  </si>
  <si>
    <t>Pegawai Negeri</t>
  </si>
  <si>
    <t>Pelajar / Mahasiswa</t>
  </si>
  <si>
    <t>Profesional</t>
  </si>
  <si>
    <t>Wiraswasta</t>
  </si>
  <si>
    <t>Pegawai Swasta</t>
  </si>
  <si>
    <t>TNI / Polri</t>
  </si>
  <si>
    <t>Pensiunan</t>
  </si>
  <si>
    <t>Pendapatan Kotor Per Bulan</t>
  </si>
  <si>
    <t>&lt; Rp. 500 Ribu</t>
  </si>
  <si>
    <t>Rp. 500 Ribu &lt; Rp 1 Juta</t>
  </si>
  <si>
    <r>
      <t xml:space="preserve">Rp. 1 Juta </t>
    </r>
    <r>
      <rPr>
        <u/>
        <sz val="9"/>
        <color indexed="8"/>
        <rFont val="Arial Narrow"/>
        <family val="2"/>
      </rPr>
      <t>&gt;</t>
    </r>
    <r>
      <rPr>
        <sz val="9"/>
        <color indexed="8"/>
        <rFont val="Arial Narrow"/>
        <family val="2"/>
      </rPr>
      <t xml:space="preserve"> Rp. 5 Juta</t>
    </r>
  </si>
  <si>
    <r>
      <t xml:space="preserve">Rp. 5 Juta </t>
    </r>
    <r>
      <rPr>
        <u/>
        <sz val="9"/>
        <color indexed="8"/>
        <rFont val="Arial Narrow"/>
        <family val="2"/>
      </rPr>
      <t>&gt;</t>
    </r>
    <r>
      <rPr>
        <sz val="9"/>
        <color indexed="8"/>
        <rFont val="Arial Narrow"/>
        <family val="2"/>
      </rPr>
      <t xml:space="preserve"> Rp. 10 Juta</t>
    </r>
  </si>
  <si>
    <r>
      <t xml:space="preserve">Rp. 10 Juta </t>
    </r>
    <r>
      <rPr>
        <u/>
        <sz val="9"/>
        <color indexed="8"/>
        <rFont val="Arial Narrow"/>
        <family val="2"/>
      </rPr>
      <t>&gt;</t>
    </r>
    <r>
      <rPr>
        <sz val="9"/>
        <color indexed="8"/>
        <rFont val="Arial Narrow"/>
        <family val="2"/>
      </rPr>
      <t xml:space="preserve"> Rp. 25 Juta</t>
    </r>
  </si>
  <si>
    <r>
      <t xml:space="preserve">Rp. 25 Juta </t>
    </r>
    <r>
      <rPr>
        <u/>
        <sz val="9"/>
        <color indexed="8"/>
        <rFont val="Arial Narrow"/>
        <family val="2"/>
      </rPr>
      <t>&gt;</t>
    </r>
    <r>
      <rPr>
        <sz val="9"/>
        <color indexed="8"/>
        <rFont val="Arial Narrow"/>
        <family val="2"/>
      </rPr>
      <t xml:space="preserve"> Rp. 50 Juta</t>
    </r>
  </si>
  <si>
    <r>
      <t xml:space="preserve">Rp. 50 Juta </t>
    </r>
    <r>
      <rPr>
        <u/>
        <sz val="9"/>
        <color indexed="8"/>
        <rFont val="Arial Narrow"/>
        <family val="2"/>
      </rPr>
      <t>&gt;</t>
    </r>
    <r>
      <rPr>
        <sz val="9"/>
        <color indexed="8"/>
        <rFont val="Arial Narrow"/>
        <family val="2"/>
      </rPr>
      <t xml:space="preserve"> Rp. 100 Juta</t>
    </r>
  </si>
  <si>
    <t>&gt; Rp. 100 Juta</t>
  </si>
  <si>
    <t>Sumber Dana</t>
  </si>
  <si>
    <t>Penghasilan bulanan</t>
  </si>
  <si>
    <t>Intensif</t>
  </si>
  <si>
    <t>Usaha Pribadi</t>
  </si>
  <si>
    <t>Jual beli tanah/kendaraan</t>
  </si>
  <si>
    <t>DATA REFERENSI BANK</t>
  </si>
  <si>
    <t>A. Data rekening di BPR</t>
  </si>
  <si>
    <t>No</t>
  </si>
  <si>
    <t>Jenis Rekening</t>
  </si>
  <si>
    <t>No. Rekening</t>
  </si>
  <si>
    <t>Tujuan pembukaan Rekening</t>
  </si>
  <si>
    <t>Simpanan</t>
  </si>
  <si>
    <t>Usaha</t>
  </si>
  <si>
    <t>Konsumsi</t>
  </si>
  <si>
    <t>Gaji</t>
  </si>
  <si>
    <t>B. Data rekening di bank lain</t>
  </si>
  <si>
    <t>Bank</t>
  </si>
  <si>
    <t>No Rekening</t>
  </si>
  <si>
    <t>CONTOH TANDA TANGAN</t>
  </si>
  <si>
    <t>PERNYATAAN</t>
  </si>
  <si>
    <t>Wonosobo, ...............................................</t>
  </si>
  <si>
    <t>Penyetor/ Nasabah</t>
  </si>
  <si>
    <t>Mengetahui,</t>
  </si>
  <si>
    <t>Petugas</t>
  </si>
  <si>
    <t>APU &amp; PPT</t>
  </si>
  <si>
    <t>Direksi</t>
  </si>
  <si>
    <t>FORMULIR CDD SEDERHANA</t>
  </si>
  <si>
    <t>Pengkinian data</t>
  </si>
  <si>
    <t>Walk in Customer</t>
  </si>
  <si>
    <t>Lainnya…………………………………..</t>
  </si>
  <si>
    <t>C.I.F</t>
  </si>
  <si>
    <t>NAMA LENGKAP</t>
  </si>
  <si>
    <t>NAMA ALIAS</t>
  </si>
  <si>
    <t>JENIS KELAMIN</t>
  </si>
  <si>
    <t>Laki Laki</t>
  </si>
  <si>
    <t>Nama Gadis Ibu Kandung</t>
  </si>
  <si>
    <t xml:space="preserve">Menikah </t>
  </si>
  <si>
    <t>Janda/ Duda</t>
  </si>
  <si>
    <t>Jenis Identitas Diri</t>
  </si>
  <si>
    <t>Lainnya…………</t>
  </si>
  <si>
    <t>Nomor handphone</t>
  </si>
  <si>
    <t>Alamat Sesuai Identitas</t>
  </si>
  <si>
    <t>Alamat Tempat Tinggal Saat ini</t>
  </si>
  <si>
    <t>Nomor Telepon Rumah</t>
  </si>
  <si>
    <t>Status Rumah saat ini</t>
  </si>
  <si>
    <t>Sendiri</t>
  </si>
  <si>
    <t>Orang tua</t>
  </si>
  <si>
    <t>Lainnya………..</t>
  </si>
  <si>
    <t>Mengetahui</t>
  </si>
  <si>
    <t>Bunga</t>
  </si>
  <si>
    <t>DIKENAL</t>
  </si>
  <si>
    <t>SEDERHANA</t>
  </si>
  <si>
    <t>Luas Bangunan 1</t>
  </si>
  <si>
    <t>Luas Bangunan 2</t>
  </si>
  <si>
    <t>NASABAH BERKARAKTER BAIK</t>
  </si>
  <si>
    <t>2.</t>
  </si>
  <si>
    <t>3.</t>
  </si>
  <si>
    <t>FLAT</t>
  </si>
  <si>
    <t>Suku Bunga</t>
  </si>
  <si>
    <t>FORMULIR CUSTOMER DUE DILIGENCE (CDD) KREDIT</t>
  </si>
  <si>
    <t>NAMA DEBITUR</t>
  </si>
  <si>
    <t>SUAMI/ISTRI</t>
  </si>
  <si>
    <t>NO KTP</t>
  </si>
  <si>
    <t>PLAFON</t>
  </si>
  <si>
    <t>NAMA IBU KANDUNG</t>
  </si>
  <si>
    <t>TTL</t>
  </si>
  <si>
    <t>PEKERJAAN</t>
  </si>
  <si>
    <t>JML TANGGUNGAN</t>
  </si>
  <si>
    <t>ALAMAT PEKERJAAN</t>
  </si>
  <si>
    <t>TANGGAL ANALISA</t>
  </si>
  <si>
    <t>PAJAK DAN PBB</t>
  </si>
  <si>
    <t>TABUNGAN</t>
  </si>
  <si>
    <t>MODAL</t>
  </si>
  <si>
    <t>ANALISA USAHA</t>
  </si>
  <si>
    <t>JENIS USAHA</t>
  </si>
  <si>
    <t>ALAMAT USAHA</t>
  </si>
  <si>
    <t>LAMA USAHA</t>
  </si>
  <si>
    <t>USAHA INTI</t>
  </si>
  <si>
    <t>=</t>
  </si>
  <si>
    <t>TOTAL</t>
  </si>
  <si>
    <t>PENGELUARAN RUTIN PER BULAN</t>
  </si>
  <si>
    <t>REPAYMENT CAPACITY</t>
  </si>
  <si>
    <t>Jenis pekerjaan</t>
  </si>
  <si>
    <t>AHIR</t>
  </si>
  <si>
    <t>Perangkat Desa</t>
  </si>
  <si>
    <t>DUKUH</t>
  </si>
  <si>
    <t>DESA</t>
  </si>
  <si>
    <t>ALAMAT  RUMAH</t>
  </si>
  <si>
    <t>KECAMATAN</t>
  </si>
  <si>
    <t>MILIK SENDIRI</t>
  </si>
  <si>
    <t>MARGO INANANG</t>
  </si>
  <si>
    <t>PINJAMAN YANG KE</t>
  </si>
  <si>
    <t>SEDANG</t>
  </si>
  <si>
    <t>NASABAH BEKARAKTER BAIK</t>
  </si>
  <si>
    <t>USAHA DEBITUR LANCAR</t>
  </si>
  <si>
    <t>JAMINAN MENCOVER</t>
  </si>
  <si>
    <t>4. .</t>
  </si>
  <si>
    <t>ADA</t>
  </si>
  <si>
    <t>DEKAT</t>
  </si>
  <si>
    <t xml:space="preserve">TOTAL NILAI TAKSASI </t>
  </si>
  <si>
    <t>CASH FLOW</t>
  </si>
  <si>
    <t>CIMB NIAGA</t>
  </si>
  <si>
    <t>JULI</t>
  </si>
  <si>
    <t>AGUSTUS</t>
  </si>
  <si>
    <t>OKTOBER</t>
  </si>
  <si>
    <t>SEPTEMBER</t>
  </si>
  <si>
    <t>BCA</t>
  </si>
  <si>
    <t>BRITAMA (A/N MARJONO)</t>
  </si>
  <si>
    <t>BRITAMA (A/N TUNUT RIYADI)</t>
  </si>
  <si>
    <t>BRITAMA (A/N JUMADI)</t>
  </si>
  <si>
    <t>BRITAMA (A/N KRISTANTO)</t>
  </si>
  <si>
    <t>RATA - RATA</t>
  </si>
  <si>
    <t xml:space="preserve">RATA - RATA KESELURUHAN </t>
  </si>
  <si>
    <t xml:space="preserve">                                                                                                                                                 </t>
  </si>
  <si>
    <t>Pendapatan Lainya</t>
  </si>
  <si>
    <t xml:space="preserve">Angsuran Pokok </t>
  </si>
  <si>
    <t xml:space="preserve">Jml Angsuran </t>
  </si>
  <si>
    <t>PERMANEN</t>
  </si>
  <si>
    <t>PLUR</t>
  </si>
  <si>
    <t>SENG</t>
  </si>
  <si>
    <t xml:space="preserve">WONOSOBO </t>
  </si>
  <si>
    <t>TIDAK ADA</t>
  </si>
  <si>
    <t>PAPAN KAYU</t>
  </si>
  <si>
    <t>HASIL PENILAIAN I DAN II</t>
  </si>
  <si>
    <t>Luas Kios (M2) I DAN II</t>
  </si>
  <si>
    <t>Luas Kios (M2) II</t>
  </si>
  <si>
    <t>HASIL PENILAIAN II</t>
  </si>
  <si>
    <t>HASIL PENILAIAN I</t>
  </si>
  <si>
    <t>Luas Kios (M2) I</t>
  </si>
  <si>
    <t xml:space="preserve">Harga Kios per m2 </t>
  </si>
  <si>
    <t xml:space="preserve">Kami telah melakukan peninjauan terhadap objek di atas, dan menurut kami Kios tersebut LAYAK untuk dijadikan agunan kredit pada PD. BPR BANK WONOSOBO dengan plafon kredit (sebagai pertimbangan collateral) maksimal adalah Rp 150.000.000,- Kami yakin bahwa objek yang dinilai adalah yang dimaksudkan oleh bank dan penilaian didasarkan pada data yang tersedia Hasil penilaian tidak dipengaruhi oleh kepentingan pribadi baik langsung maupun tidak langsung 
</t>
  </si>
  <si>
    <t>5..</t>
  </si>
  <si>
    <t>ADA PELUNASAN PINJAMAN LAMA</t>
  </si>
  <si>
    <t>Pendapatan Pasangan</t>
  </si>
  <si>
    <t xml:space="preserve"> </t>
  </si>
  <si>
    <t>/BL</t>
  </si>
  <si>
    <t>Rp</t>
  </si>
  <si>
    <t>4.</t>
  </si>
  <si>
    <t>/</t>
  </si>
  <si>
    <t>INDEKS SUMBER INFORMASI HARGA TANAH DIPEROLEH DARI INFORMASI :</t>
  </si>
  <si>
    <r>
      <t>No</t>
    </r>
    <r>
      <rPr>
        <b/>
        <sz val="10"/>
        <color rgb="FFFFFFFF"/>
        <rFont val="Times New Roman"/>
        <family val="1"/>
      </rPr>
      <t xml:space="preserve"> </t>
    </r>
  </si>
  <si>
    <r>
      <t>Tolak Ukur</t>
    </r>
    <r>
      <rPr>
        <sz val="10"/>
        <color rgb="FF1C3A8E"/>
        <rFont val="Times New Roman"/>
        <family val="1"/>
      </rPr>
      <t xml:space="preserve"> </t>
    </r>
  </si>
  <si>
    <r>
      <t>Sangat Baik</t>
    </r>
    <r>
      <rPr>
        <sz val="10"/>
        <color rgb="FF1C3A8E"/>
        <rFont val="Times New Roman"/>
        <family val="1"/>
      </rPr>
      <t xml:space="preserve"> </t>
    </r>
  </si>
  <si>
    <r>
      <t>Baik</t>
    </r>
    <r>
      <rPr>
        <sz val="10"/>
        <color rgb="FF1C3A8E"/>
        <rFont val="Times New Roman"/>
        <family val="1"/>
      </rPr>
      <t xml:space="preserve"> </t>
    </r>
  </si>
  <si>
    <r>
      <t>Cukup Baik</t>
    </r>
    <r>
      <rPr>
        <sz val="10"/>
        <color rgb="FF1C3A8E"/>
        <rFont val="Times New Roman"/>
        <family val="1"/>
      </rPr>
      <t xml:space="preserve"> </t>
    </r>
  </si>
  <si>
    <r>
      <t>Kurang Baik</t>
    </r>
    <r>
      <rPr>
        <sz val="10"/>
        <color rgb="FF1C3A8E"/>
        <rFont val="Times New Roman"/>
        <family val="1"/>
      </rPr>
      <t xml:space="preserve"> </t>
    </r>
  </si>
  <si>
    <r>
      <t>Tidak Baik</t>
    </r>
    <r>
      <rPr>
        <sz val="10"/>
        <color rgb="FF1C3A8E"/>
        <rFont val="Times New Roman"/>
        <family val="1"/>
      </rPr>
      <t xml:space="preserve"> </t>
    </r>
  </si>
  <si>
    <t xml:space="preserve">Jumlah/rencana angsuran </t>
  </si>
  <si>
    <t>X</t>
  </si>
  <si>
    <r>
      <t>Latar Belakang Keluarga</t>
    </r>
    <r>
      <rPr>
        <sz val="10"/>
        <color rgb="FF1C3A8E"/>
        <rFont val="Times New Roman"/>
        <family val="1"/>
      </rPr>
      <t xml:space="preserve"> </t>
    </r>
  </si>
  <si>
    <r>
      <t>Kesanggupan dalam melengkapi dokumen</t>
    </r>
    <r>
      <rPr>
        <sz val="10"/>
        <color rgb="FF1C3A8E"/>
        <rFont val="Times New Roman"/>
        <family val="1"/>
      </rPr>
      <t xml:space="preserve"> </t>
    </r>
  </si>
  <si>
    <r>
      <t>Tujuan Penggunaan Pinjaman</t>
    </r>
    <r>
      <rPr>
        <sz val="10"/>
        <color rgb="FF1C3A8E"/>
        <rFont val="Times New Roman"/>
        <family val="1"/>
      </rPr>
      <t xml:space="preserve"> </t>
    </r>
  </si>
  <si>
    <t>TOTAL ASSET</t>
  </si>
  <si>
    <t>total hutang</t>
  </si>
  <si>
    <r>
      <t>Rumah tinggal calon nasabah bukan rumah tinggal sementara.</t>
    </r>
    <r>
      <rPr>
        <sz val="10"/>
        <color rgb="FF000000"/>
        <rFont val="Calibri"/>
        <family val="2"/>
      </rPr>
      <t xml:space="preserve"> </t>
    </r>
  </si>
  <si>
    <r>
      <t>Memiliki tempat usaha yang strategis dan ekonomis.</t>
    </r>
    <r>
      <rPr>
        <sz val="10"/>
        <color rgb="FF000000"/>
        <rFont val="Calibri"/>
        <family val="2"/>
      </rPr>
      <t xml:space="preserve"> </t>
    </r>
  </si>
  <si>
    <r>
      <t>Memiliki Karyawan</t>
    </r>
    <r>
      <rPr>
        <sz val="10"/>
        <color rgb="FF000000"/>
        <rFont val="Calibri"/>
        <family val="2"/>
      </rPr>
      <t xml:space="preserve"> </t>
    </r>
  </si>
  <si>
    <r>
      <t>Tidak banyak memiliki beban rumah tangga dan beban angsuran.</t>
    </r>
    <r>
      <rPr>
        <sz val="10"/>
        <color rgb="FF000000"/>
        <rFont val="Calibri"/>
        <family val="2"/>
      </rPr>
      <t xml:space="preserve"> </t>
    </r>
  </si>
  <si>
    <t>TOTAL NILAI JAMINAN</t>
  </si>
  <si>
    <t>JUMLAH PLAFOND</t>
  </si>
  <si>
    <t>300-399</t>
  </si>
  <si>
    <t>200-299</t>
  </si>
  <si>
    <t>Tolak Ukur</t>
  </si>
  <si>
    <t>ALAMAT SESUAI KTP</t>
  </si>
  <si>
    <t>NAMA INSTANSI/PERUSAHAAN</t>
  </si>
  <si>
    <t>ANUITAS</t>
  </si>
  <si>
    <t>DEPARTEMEN/BAGIAN</t>
  </si>
  <si>
    <t>JABATAN</t>
  </si>
  <si>
    <t>NO. TELP KANTOR</t>
  </si>
  <si>
    <t>TUJUAN PINJAMAN</t>
  </si>
  <si>
    <t>ALAMAT INSTANSI/PERUSAHAAN</t>
  </si>
  <si>
    <t>NERACA</t>
  </si>
  <si>
    <t>KOTA/KABUPATEN</t>
  </si>
  <si>
    <t>WONOSOBO</t>
  </si>
  <si>
    <t>KEUNTUNGAN BERSIH</t>
  </si>
  <si>
    <t>SEBELUM KREDIT</t>
  </si>
  <si>
    <t>SETELAH KREDIT</t>
  </si>
  <si>
    <t>SESUDAH KREDIT</t>
  </si>
  <si>
    <t>PERHITUNGAN SETELAH DIBERI KREDIT</t>
  </si>
  <si>
    <t>Keuntungan</t>
  </si>
  <si>
    <t>Listrik, Air, Telepon</t>
  </si>
  <si>
    <t>Sosial &amp; Lain - lain</t>
  </si>
  <si>
    <t xml:space="preserve">Repayment Capacity          x     100 </t>
  </si>
  <si>
    <t xml:space="preserve">PINJAMAN KE </t>
  </si>
  <si>
    <t>PINJAMAN KE</t>
  </si>
  <si>
    <t>TAHUN PEROLEHAN</t>
  </si>
  <si>
    <t>HARGA</t>
  </si>
  <si>
    <t>TANAH &amp; BANGUNAN</t>
  </si>
  <si>
    <t>KENDARAAN</t>
  </si>
  <si>
    <t>Kadiv. Operasional</t>
  </si>
  <si>
    <t>Nilai Wajar</t>
  </si>
  <si>
    <t>TOTAL NILAI WAJAR</t>
  </si>
  <si>
    <t>NILAI LIKUIDASI (55%)</t>
  </si>
  <si>
    <t>YUFIANDY</t>
  </si>
  <si>
    <t>NANI TRI ASTUTI, SE</t>
  </si>
  <si>
    <t>AANG KUNAEFI USMAN</t>
  </si>
  <si>
    <t>GALIH PAMBAJENG</t>
  </si>
  <si>
    <t>SUMBER INDEKS / INFORMASI HARGA KENDARAAN DI PEROLEH DARI :</t>
  </si>
  <si>
    <t>TOTAL PINJAMAN</t>
  </si>
  <si>
    <t>ANALIS</t>
  </si>
  <si>
    <t>Analis</t>
  </si>
  <si>
    <t>Kabag. Analis</t>
  </si>
  <si>
    <t>RIZAL</t>
  </si>
  <si>
    <t>NILAI HARGA WAJAR</t>
  </si>
  <si>
    <t>NILAI TAKSASI BANK 70%</t>
  </si>
  <si>
    <t>PEDAGANG KENDARAAN</t>
  </si>
  <si>
    <t>PEMILIK</t>
  </si>
  <si>
    <t>6M</t>
  </si>
  <si>
    <t>JALAN</t>
  </si>
  <si>
    <t>DEBITUR</t>
  </si>
  <si>
    <t>RUMAH TINGGAL</t>
  </si>
  <si>
    <t>NANI TRI ASTUTI, S.E, M.M</t>
  </si>
  <si>
    <t>OPINI</t>
  </si>
  <si>
    <t>DISETUJUI TIDAK SESUAI PLAFON</t>
  </si>
  <si>
    <t>DISETUJUI TIDAK SESUAI PERMOHONAN</t>
  </si>
  <si>
    <t>DIUSULKAN DAN MENYETUJUI</t>
  </si>
  <si>
    <t>CITRA PERMATASARI</t>
  </si>
  <si>
    <t>SEPEDA MOTOR</t>
  </si>
  <si>
    <t>HONDA/NC11BF1D A/T</t>
  </si>
  <si>
    <t>2013/PUTIH</t>
  </si>
  <si>
    <t>AA 4152 JP</t>
  </si>
  <si>
    <t>K-08863228</t>
  </si>
  <si>
    <t>MH1JFD228DK517883</t>
  </si>
  <si>
    <t>JFD2E2515541</t>
  </si>
  <si>
    <t>PRIBADI</t>
  </si>
  <si>
    <t>PENDAPATAN LAIN</t>
  </si>
  <si>
    <t>STOK BARANG DAGANG</t>
  </si>
  <si>
    <t>DENAH RUMAH</t>
  </si>
  <si>
    <t>Janda/Duda</t>
  </si>
  <si>
    <t>Jenis pekerjaan                                     :</t>
  </si>
  <si>
    <t>Resiko</t>
  </si>
  <si>
    <t>Kejujuran, keterbukaan dan kooperatif</t>
  </si>
  <si>
    <t>Slik / BI Cheking</t>
  </si>
  <si>
    <t>Persoalan Hukum/Tindak Pidana</t>
  </si>
  <si>
    <t>Total Resiko</t>
  </si>
  <si>
    <t>Memiliki ijin usaha atau legalitas usaha bagi pengusaha dan memiliki sarana dan prasarana yang memadai</t>
  </si>
  <si>
    <t>BOBOT RESIKO</t>
  </si>
  <si>
    <t xml:space="preserve">&gt; 150 </t>
  </si>
  <si>
    <t>&gt; 500</t>
  </si>
  <si>
    <t>&gt; 150</t>
  </si>
  <si>
    <t xml:space="preserve"> 400-499</t>
  </si>
  <si>
    <t>&lt; 74</t>
  </si>
  <si>
    <t>&lt; 200</t>
  </si>
  <si>
    <t>MENGETAHUI</t>
  </si>
  <si>
    <t>TTD</t>
  </si>
  <si>
    <t>NJOP</t>
  </si>
  <si>
    <t>EKO</t>
  </si>
  <si>
    <t>WWW.OLX.COM</t>
  </si>
  <si>
    <t>WWW.CARMUDI.CO.ID</t>
  </si>
  <si>
    <t>Fisik Kendaraan cukup baik, kondisi mesin kendaraan baik, perlengkapan kendaraan standar masih orisinil, kodisi kendaraan layak jalan dan harga jual masih tinggi serta nilai taksasi dapat mengcover pinjaman yang diajukan .</t>
  </si>
  <si>
    <t>BANGUN AJI WIRATMOKO</t>
  </si>
  <si>
    <t>RT / RW</t>
  </si>
  <si>
    <t>LEBIH DARI 5 TAHUN</t>
  </si>
  <si>
    <t>TGL LAHIR</t>
  </si>
  <si>
    <t>USIA</t>
  </si>
  <si>
    <t>Tahun</t>
  </si>
  <si>
    <t>Bulan</t>
  </si>
  <si>
    <t>Hari</t>
  </si>
  <si>
    <t>Angsuran Bank Wonosobo</t>
  </si>
  <si>
    <t>RIFQY DEWANGGA, S.H</t>
  </si>
  <si>
    <t>Nilai Wajar Jaminan</t>
  </si>
  <si>
    <t>Nilai Taksasi Bank</t>
  </si>
  <si>
    <t>TEMPO</t>
  </si>
  <si>
    <t xml:space="preserve">Angsuran Bunga 1 </t>
  </si>
  <si>
    <t>Angsuran Bunga 2</t>
  </si>
  <si>
    <t>Angsuran Bunga 3</t>
  </si>
  <si>
    <t>Angsuran Bunga 4</t>
  </si>
  <si>
    <t>Angsuran Bunga 5</t>
  </si>
  <si>
    <t>Angsuran Bunga 6</t>
  </si>
  <si>
    <t>Jumlah Angsuran Bunga</t>
  </si>
  <si>
    <t>Jumlah Angsuran Pokok</t>
  </si>
  <si>
    <t>Kabag Analis</t>
  </si>
  <si>
    <t xml:space="preserve">      DISETUJUI      /      DITOLAK      /      DISETUJUI TIDAK SESUAI PERMOHONAN</t>
  </si>
  <si>
    <t>Angsuran Bunga / bulan</t>
  </si>
  <si>
    <t>SEJAJAR</t>
  </si>
  <si>
    <t>BERITA ACARA NEGOSIASI ANTARA ANALIS DENGAN</t>
  </si>
  <si>
    <t>Pada hari ini</t>
  </si>
  <si>
    <t>telah dilakukan survey dan negosiasi antara petugas</t>
  </si>
  <si>
    <t>Yang bertandatangan dibawah ini :</t>
  </si>
  <si>
    <t>Jenis Usaha</t>
  </si>
  <si>
    <t>No KTP</t>
  </si>
  <si>
    <t>Dengan ini menyatakan bahwa :</t>
  </si>
  <si>
    <t>a)</t>
  </si>
  <si>
    <t>Plafond Pinjaman</t>
  </si>
  <si>
    <t>b)</t>
  </si>
  <si>
    <t>Jangka Waktu Pinjaman</t>
  </si>
  <si>
    <t>c)</t>
  </si>
  <si>
    <t>Suku Bunga Pinjaman</t>
  </si>
  <si>
    <t>d)</t>
  </si>
  <si>
    <t>Agunan Berupa</t>
  </si>
  <si>
    <t>e)</t>
  </si>
  <si>
    <t>Sistem Angsuran</t>
  </si>
  <si>
    <t>√ Flat</t>
  </si>
  <si>
    <t>√ Anuitas</t>
  </si>
  <si>
    <t>√ Tempo</t>
  </si>
  <si>
    <t>Demikian surat pernyataan ini kami buat dan memiliki kekuatan hukum dan dapat untuk dipergunakan sebagaimana mestinya.</t>
  </si>
  <si>
    <t>Wonosobo</t>
  </si>
  <si>
    <t>Calon Debitur / Debitur</t>
  </si>
  <si>
    <t>( ……………………………………….. )</t>
  </si>
  <si>
    <t>Surveyor</t>
  </si>
  <si>
    <t>: ………………………………………………………</t>
  </si>
  <si>
    <t>PT. BPR BANK WONOSOBO (PERSERODA)</t>
  </si>
  <si>
    <t xml:space="preserve">analis PT. BPR Bank Wonosobo (Perseroda) dengan calon peminjam. </t>
  </si>
  <si>
    <t>Benar, saya sebagai Nasabah/Calon Nasabah PT. BPR Bank Wonosobo (Perseroda) telah sepakat untuk mengajukan permohonan pinjaman dengan kesepakatan sebagai berikut :</t>
  </si>
  <si>
    <t xml:space="preserve">Data dan informasi yang kami sampaikan baik saat wawancara maupun  data pendukung pada saat kunjungan tim analis PT. BPR Bank Wonosobo (Perseroda) adalah BENAR tanpa adanya rekayasa atau fiktif. </t>
  </si>
  <si>
    <t>Bahwa pengunaan kredit akan dipakai sendiri bukan atas nama, Apabila terdapat hal-hal yang tidak benar dikemudian hari terkait dengan data dan informasi yang kami sampaikan tersebut, maka kami bersedia bertanggung jawab secara hukum tanpa melibatkan pihak PT. BPR Bank Wonosobo (Perseroda) dan atau petugas kunjungan lapangan.</t>
  </si>
  <si>
    <r>
      <t>Kami telah melakukan peninjauan terhadap objek di atas, dan menurut kami Kendaraan tersebut LAYAK untuk dijadikan agunan kredit pada PT. BPR BANK WONOSOBO (PERSERODA) dengan plafon kredit (sebagai pertimbangan collateral) adalah</t>
    </r>
    <r>
      <rPr>
        <b/>
        <i/>
        <sz val="10"/>
        <color indexed="8"/>
        <rFont val="Century Gothic"/>
        <family val="2"/>
      </rPr>
      <t xml:space="preserve"> Rp 5.950.000</t>
    </r>
    <r>
      <rPr>
        <sz val="10"/>
        <color indexed="8"/>
        <rFont val="Century Gothic"/>
        <family val="2"/>
      </rPr>
      <t xml:space="preserve"> Kami yakin bahwa objek yang dinilai adalah yang dimaksudkan oleh bank dan penilaian didasarkan pada data yang tersedia Hasil penilaian tidak dipengaruhi oleh kepentingan pribadi baik langsung maupun tidak langsung .</t>
    </r>
  </si>
  <si>
    <r>
      <t>Kami telah melakukan peninjauan terhadap objek di atas, dan menurut kami Kendaraan tersebut LAYAK untuk dijadikan agunan kredit pada PT. BPR BANK WONOSOBO (PERSERODA) dengan plafon kredit (sebagai pertimbangan collateral) adalah</t>
    </r>
    <r>
      <rPr>
        <b/>
        <i/>
        <sz val="10"/>
        <color indexed="8"/>
        <rFont val="Century Gothic"/>
        <family val="2"/>
      </rPr>
      <t xml:space="preserve"> Rp 80.500.000</t>
    </r>
    <r>
      <rPr>
        <sz val="10"/>
        <color indexed="8"/>
        <rFont val="Century Gothic"/>
        <family val="2"/>
      </rPr>
      <t xml:space="preserve"> Kami yakin bahwa objek yang dinilai adalah yang dimaksudkan oleh bank dan penilaian didasarkan pada data yang tersedia Hasil penilaian tidak dipengaruhi oleh kepentingan pribadi baik langsung maupun tidak langsung .</t>
    </r>
  </si>
  <si>
    <t>Kami telah melakukan peninjauan terhadap objek di atas,</t>
  </si>
  <si>
    <t>PT. BPR BANK WONOSOBO (PERSERODA) dengan plafon kredit (sebagai pertimbangan collateral) adalah</t>
  </si>
  <si>
    <t xml:space="preserve"> Kami yakin bahwa objek yang dinilai adalah yang dimaksudkan oleh bank dan penilaian didasarkan pada data yang tersedia</t>
  </si>
  <si>
    <t>Hasil penilaian tidak dipengaruhi oleh kepentingan pribadi baik langsung maupun tidak langsung .</t>
  </si>
  <si>
    <t>dan menurut kami tanah dan atau bangunan tersebut LAYAK untuk dijadikan agunan kredit pada</t>
  </si>
  <si>
    <t>0811261088</t>
  </si>
  <si>
    <t>DYAH RETNO SULISTYOWATI</t>
  </si>
  <si>
    <t>WONOSOBO, 19-04-1978</t>
  </si>
  <si>
    <t>3307095904780003</t>
  </si>
  <si>
    <t>TOSARI REJO</t>
  </si>
  <si>
    <t>JARAKSARI</t>
  </si>
  <si>
    <t>001/006</t>
  </si>
  <si>
    <t>PNS</t>
  </si>
  <si>
    <t>AFIF NURHIDAYAT</t>
  </si>
  <si>
    <t>WONOSOBO, 25-11-1970</t>
  </si>
  <si>
    <t>3 ORANG</t>
  </si>
  <si>
    <t>SRI MURTINI</t>
  </si>
  <si>
    <t>MUDAL WONOSOBO</t>
  </si>
  <si>
    <t>PERDAGANGAN</t>
  </si>
  <si>
    <t>ROJOIMO</t>
  </si>
  <si>
    <t>BPN/18-12-2014</t>
  </si>
  <si>
    <t>PERSEGI PANJANG</t>
  </si>
  <si>
    <t>KERAMIK</t>
  </si>
  <si>
    <t>PERMANEN/2 LANTAI</t>
  </si>
  <si>
    <t>TEMBOK</t>
  </si>
  <si>
    <t>ALUMUNIUM</t>
  </si>
  <si>
    <t>DAK BETON</t>
  </si>
  <si>
    <t>RUKO</t>
  </si>
  <si>
    <t>TANAH PERUMAHAN</t>
  </si>
  <si>
    <t>JUPRIANTO</t>
  </si>
  <si>
    <t>KUAT</t>
  </si>
  <si>
    <t>00690</t>
  </si>
  <si>
    <t>SHM/NO.01565</t>
  </si>
  <si>
    <t>SHM/NO.01562</t>
  </si>
  <si>
    <t>00693</t>
  </si>
  <si>
    <t>00689</t>
  </si>
  <si>
    <t>GARASI</t>
  </si>
  <si>
    <t>TANAH KALIBEBER</t>
  </si>
  <si>
    <t>KOLAM TOSARIREJO</t>
  </si>
  <si>
    <t>ALFAMART KALIBEBER</t>
  </si>
  <si>
    <t>ALFAMART MANGGISAN</t>
  </si>
  <si>
    <t>RUKO KALIBEBER</t>
  </si>
  <si>
    <t>HONDA HRV PRESTIGE 2016</t>
  </si>
  <si>
    <t>RUKO ROJOIMO 1</t>
  </si>
  <si>
    <t>RUKO ROJOIMO 2</t>
  </si>
  <si>
    <t>Angsuran CC Mandiri</t>
  </si>
  <si>
    <t>BULAN</t>
  </si>
  <si>
    <t>RATA-RATA</t>
  </si>
  <si>
    <t xml:space="preserve"> Omset Penjualan / Bulan</t>
  </si>
  <si>
    <t>ALFAMART KALIBEBER MANGGISAN DAN ROJOIMO</t>
  </si>
  <si>
    <r>
      <t>(Calon Peminjam</t>
    </r>
    <r>
      <rPr>
        <i/>
        <sz val="18"/>
        <rFont val="Calibri"/>
        <family val="2"/>
        <scheme val="minor"/>
      </rPr>
      <t>/End User</t>
    </r>
    <r>
      <rPr>
        <sz val="18"/>
        <rFont val="Calibri"/>
        <family val="2"/>
        <scheme val="minor"/>
      </rPr>
      <t>)</t>
    </r>
  </si>
  <si>
    <t xml:space="preserve"> SHM</t>
  </si>
  <si>
    <t>DRS. ONE ANDANG WARDOYO, M.Si</t>
  </si>
  <si>
    <t>USULAN KOMITE LAMA</t>
  </si>
  <si>
    <t>USULAN KOMITE BARU</t>
  </si>
  <si>
    <t>TEMPO MENURUN</t>
  </si>
  <si>
    <t>x POKOK BULAN SEBELUMNYA</t>
  </si>
  <si>
    <t>1.5% X POKOK BULAN SEBELUMNYA</t>
  </si>
  <si>
    <t>YMT. Direktur Utama</t>
  </si>
  <si>
    <t>GALIH PAMBAJENG, A.Md</t>
  </si>
  <si>
    <t>Angsuran Bank Wonosobo Tempo</t>
  </si>
  <si>
    <t>Perbulan</t>
  </si>
  <si>
    <t>PASTIKAN PELUNASAN TEPAT WAKTU</t>
  </si>
  <si>
    <t>INVESTASI PEMBELIAN TANAH</t>
  </si>
  <si>
    <t>KALIBEBER</t>
  </si>
  <si>
    <t>MOJOTENGAH</t>
  </si>
  <si>
    <t>SALURAN</t>
  </si>
  <si>
    <t>01055</t>
  </si>
  <si>
    <t>01052</t>
  </si>
  <si>
    <t>SHM/NO.01798</t>
  </si>
  <si>
    <t>BPN/29-01-2018</t>
  </si>
  <si>
    <t>PERMANEN/1 LANTAI</t>
  </si>
  <si>
    <t>MUDAL</t>
  </si>
  <si>
    <t>JALAN MANGGISAN MUDAL</t>
  </si>
  <si>
    <t>00508;SUTARNO</t>
  </si>
  <si>
    <t>00508</t>
  </si>
  <si>
    <t>H. AHSIN BAKIR</t>
  </si>
  <si>
    <t>SHM/NO.00817</t>
  </si>
  <si>
    <t>BPN/20-12-2010</t>
  </si>
  <si>
    <t>1.5 % X POKOK BULAN SEBELUMNYA</t>
  </si>
  <si>
    <t>Maksimal Angsuran</t>
  </si>
  <si>
    <t>Drs. ONE ANDANG WARDOYO, M.Si</t>
  </si>
  <si>
    <t>Komisaris Utama</t>
  </si>
  <si>
    <t>PENDAPATAN BERSIH SETELAH TOP UP</t>
  </si>
  <si>
    <t>ALFAMART KALIBEBER, MANGGISAN, &amp; MIROMBO</t>
  </si>
  <si>
    <t>5.</t>
  </si>
  <si>
    <t>PENJUALAN</t>
  </si>
  <si>
    <t>BEBAN POKOK</t>
  </si>
  <si>
    <t>PENGHASILAN SEWA</t>
  </si>
  <si>
    <t>BEBAN USAHA</t>
  </si>
  <si>
    <t>PENGHASILAN DILUAR USAHA</t>
  </si>
  <si>
    <t>BEBAN DILUAR USAHA</t>
  </si>
  <si>
    <t>BEBAN TRANS NON KAS</t>
  </si>
  <si>
    <t>LABA/RUGI</t>
  </si>
  <si>
    <t>ALFAMART MIROMBO</t>
  </si>
  <si>
    <t>NILAI TAKSASI (70%)</t>
  </si>
  <si>
    <t>Kabag Kredit</t>
  </si>
  <si>
    <t>Kadiv Bisnis</t>
  </si>
  <si>
    <t>NANI TRI ASTUTI, S.E</t>
  </si>
  <si>
    <t>PENYEDIA DATA</t>
  </si>
  <si>
    <t>DIKI SETIYADI</t>
  </si>
  <si>
    <t>PEMBERI PINJAMAN</t>
  </si>
  <si>
    <t>BAKI DEBET</t>
  </si>
  <si>
    <t>KETERANGAN</t>
  </si>
  <si>
    <t>PINJAMAN BANK WONOSOBO</t>
  </si>
  <si>
    <t>PINJAMAN BANK CIMB NIAGA</t>
  </si>
  <si>
    <t>LANCAR</t>
  </si>
  <si>
    <t>PEMANTAUAN SLIK BULAN SEPTEMBER 2024 AN DYAH RETNO SULISTYOWATI</t>
  </si>
  <si>
    <t>PEMANTAUAN SLIK BULAN SEPTEMBER 2024 AN AFIF NUR HIDAYAT (PENDAMPING)</t>
  </si>
  <si>
    <t>SUMBER PELUNASAN</t>
  </si>
  <si>
    <t>PROYEKSI HASIL ALFAMART</t>
  </si>
  <si>
    <t xml:space="preserve">LOKASI </t>
  </si>
  <si>
    <t>MEI</t>
  </si>
  <si>
    <t>JUNI</t>
  </si>
  <si>
    <t>NOVEMBER</t>
  </si>
  <si>
    <t>DESEMBER</t>
  </si>
  <si>
    <t>JANUARI</t>
  </si>
  <si>
    <t>FEBRUARI</t>
  </si>
  <si>
    <t>MARET</t>
  </si>
  <si>
    <t>APRIL</t>
  </si>
  <si>
    <t>Angsuran Bunga 7</t>
  </si>
  <si>
    <t>Angsuran Bunga 8</t>
  </si>
  <si>
    <t>Angsuran Bunga 9</t>
  </si>
  <si>
    <t>Angsuran Bunga 10</t>
  </si>
  <si>
    <t>Angsuran Bunga 11</t>
  </si>
  <si>
    <t>Angsuran Bunga 12</t>
  </si>
  <si>
    <t>NUROHMAN</t>
  </si>
  <si>
    <t>RAAFI PURNA AJI</t>
  </si>
  <si>
    <t>Kadiv. Kredit</t>
  </si>
  <si>
    <t>GALIH PAMBAJENG, S.Ak</t>
  </si>
  <si>
    <t>Direktur Operasional</t>
  </si>
  <si>
    <t>NILAI TAKSASI (75%)</t>
  </si>
  <si>
    <t>Kadiv Kredit</t>
  </si>
  <si>
    <t>SHM/NO.01798 &amp; SHM/NO.00817</t>
  </si>
  <si>
    <t>GALIH PAMBAJENG,S.Ak</t>
  </si>
  <si>
    <t>PINJAMAN BCA</t>
  </si>
  <si>
    <t>PINJAMAN CIMB NIAGA</t>
  </si>
  <si>
    <t>Angsuran BCA</t>
  </si>
  <si>
    <t>PROYEKSI PENDAPATAN ALFAMART 2025-2026</t>
  </si>
  <si>
    <t>TOTAL PENDAPATAN ALFAMART MIROMBO, MANGGISAN DAN KALIBEBER 2025-2026</t>
  </si>
  <si>
    <t>PELUNASAN PINJAMAN PT BPR BANK WONOSOBO</t>
  </si>
  <si>
    <t>Sisa setelah pelunasan pinjaman PT BPR Bank Wonosobo</t>
  </si>
  <si>
    <t>Angsuran cimb niaga</t>
  </si>
  <si>
    <t>TANAH</t>
  </si>
  <si>
    <t>BANGUNAN</t>
  </si>
  <si>
    <t>PENDAPATAN SAAT PENURUNAN PLAFON</t>
  </si>
  <si>
    <t>PENURUNAN PLAFON</t>
  </si>
  <si>
    <t>BUPATI</t>
  </si>
  <si>
    <t>Tempo</t>
  </si>
  <si>
    <t>ADRIAN WAHYU P</t>
  </si>
  <si>
    <r>
      <t xml:space="preserve">Kami telah melakukan peninjauan terhadap objek di atas, dan menurut kami tanah dan atau bangunan tersebut LAYAK untuk dijadikan agunan kredit pada PT. BPR BANK WONOSOBO (PERSERODA) dengan plafon kredit (sebagai pertimbangan collateral) maksimal adalah </t>
    </r>
    <r>
      <rPr>
        <b/>
        <i/>
        <sz val="10"/>
        <color indexed="8"/>
        <rFont val="Century Gothic"/>
        <family val="2"/>
      </rPr>
      <t>Rp 184.080.000-</t>
    </r>
    <r>
      <rPr>
        <sz val="10"/>
        <color indexed="8"/>
        <rFont val="Century Gothic"/>
        <family val="2"/>
      </rPr>
      <t xml:space="preserve"> Kami yakin bahwa objek yang dinilai adalah yang dimaksudkan oleh bank dan penilaian didasarkan pada data yang tersedia Hasil penilaian tidak dipengaruhi oleh kepentingan pribadi baik langsung maupun tidak langsung </t>
    </r>
  </si>
  <si>
    <t>AGUST 2025</t>
  </si>
  <si>
    <t>OKT 2025</t>
  </si>
  <si>
    <t>SEPT 2025</t>
  </si>
  <si>
    <t>PENDAPATAN BERSIH SAAT TOP UP</t>
  </si>
  <si>
    <t>PROYEKSI PENDAPATAN ALFAMART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</si>
</sst>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Rp&quot;#,##0;[Red]\-&quot;Rp&quot;#,##0"/>
    <numFmt numFmtId="43" formatCode="_-* #,##0.00_-;\-* #,##0.00_-;_-* &quot;-&quot;??_-;_-@_-"/>
    <numFmt numFmtId="164" formatCode="_(* #,##0_);_(* \(#,##0\);_(* &quot;-&quot;_);_(@_)"/>
    <numFmt numFmtId="165" formatCode="_(* #,##0.00_);_(* \(#,##0.00\);_(* &quot;-&quot;??_);_(@_)"/>
    <numFmt numFmtId="166" formatCode="_(&quot;Rp&quot;* #,##0_);_(&quot;Rp&quot;* \(#,##0\);_(&quot;Rp&quot;* &quot;-&quot;_);_(@_)"/>
    <numFmt numFmtId="167" formatCode="_(* #,##0_);_(* \(#,##0\);_(* &quot;-&quot;??_);_(@_)"/>
    <numFmt numFmtId="168" formatCode="0.0"/>
    <numFmt numFmtId="169" formatCode="0.0%"/>
    <numFmt numFmtId="170" formatCode="_([$Rp-421]* #,##0_);_([$Rp-421]* \(#,##0\);_([$Rp-421]* &quot;-&quot;_);_(@_)"/>
    <numFmt numFmtId="171" formatCode="&quot;Rp&quot;#,##0"/>
    <numFmt numFmtId="172" formatCode="_-* #,##0_-;\-* #,##0_-;_-* &quot;-&quot;??_-;_-@_-"/>
    <numFmt numFmtId="173" formatCode="_(* #,##0.0_);_(* \(#,##0.0\);_(* &quot;-&quot;??_);_(@_)"/>
  </numFmts>
  <fonts count="109"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Century Gothic"/>
      <family val="2"/>
    </font>
    <font>
      <sz val="10"/>
      <color indexed="8"/>
      <name val="Century Gothic"/>
      <family val="2"/>
    </font>
    <font>
      <b/>
      <sz val="10"/>
      <color indexed="8"/>
      <name val="Century Gothic"/>
      <family val="2"/>
    </font>
    <font>
      <b/>
      <sz val="10"/>
      <color indexed="8"/>
      <name val="Century Gothic"/>
      <family val="2"/>
    </font>
    <font>
      <sz val="10"/>
      <color indexed="9"/>
      <name val="Century Gothic"/>
      <family val="2"/>
    </font>
    <font>
      <b/>
      <sz val="14"/>
      <color indexed="8"/>
      <name val="Century Gothic"/>
      <family val="2"/>
    </font>
    <font>
      <b/>
      <sz val="10"/>
      <name val="Century Gothic"/>
      <family val="2"/>
    </font>
    <font>
      <sz val="10"/>
      <name val="Century Gothic"/>
      <family val="2"/>
    </font>
    <font>
      <b/>
      <sz val="9"/>
      <color indexed="8"/>
      <name val="Century Gothic"/>
      <family val="2"/>
    </font>
    <font>
      <sz val="9"/>
      <color indexed="8"/>
      <name val="Century Gothic"/>
      <family val="2"/>
    </font>
    <font>
      <sz val="9"/>
      <color indexed="9"/>
      <name val="Century Gothic"/>
      <family val="2"/>
    </font>
    <font>
      <u/>
      <sz val="9"/>
      <color indexed="8"/>
      <name val="Arial Narrow"/>
      <family val="2"/>
    </font>
    <font>
      <sz val="9"/>
      <color indexed="8"/>
      <name val="Arial Narrow"/>
      <family val="2"/>
    </font>
    <font>
      <sz val="11"/>
      <color theme="1"/>
      <name val="Calibri"/>
      <family val="2"/>
      <charset val="1"/>
      <scheme val="minor"/>
    </font>
    <font>
      <sz val="10"/>
      <color theme="1"/>
      <name val="Century Gothic"/>
      <family val="2"/>
    </font>
    <font>
      <b/>
      <sz val="10"/>
      <color theme="1"/>
      <name val="Century Gothic"/>
      <family val="2"/>
    </font>
    <font>
      <b/>
      <sz val="10"/>
      <color theme="0"/>
      <name val="Century Gothic"/>
      <family val="2"/>
    </font>
    <font>
      <sz val="10"/>
      <color theme="0"/>
      <name val="Century Gothic"/>
      <family val="2"/>
    </font>
    <font>
      <sz val="11"/>
      <color theme="1"/>
      <name val="Century Gothic"/>
      <family val="2"/>
    </font>
    <font>
      <b/>
      <sz val="10"/>
      <color rgb="FFC00000"/>
      <name val="Century Gothic"/>
      <family val="2"/>
    </font>
    <font>
      <b/>
      <sz val="10"/>
      <color rgb="FFFF0000"/>
      <name val="Century Gothic"/>
      <family val="2"/>
    </font>
    <font>
      <b/>
      <i/>
      <sz val="10"/>
      <color theme="0"/>
      <name val="Century Gothic"/>
      <family val="2"/>
    </font>
    <font>
      <sz val="9"/>
      <color theme="1"/>
      <name val="Century Gothic"/>
      <family val="2"/>
    </font>
    <font>
      <b/>
      <sz val="9"/>
      <color theme="1"/>
      <name val="Century Gothic"/>
      <family val="2"/>
    </font>
    <font>
      <sz val="12"/>
      <color theme="1"/>
      <name val="Calibri"/>
      <family val="2"/>
      <charset val="1"/>
      <scheme val="minor"/>
    </font>
    <font>
      <sz val="10"/>
      <color theme="1"/>
      <name val="Arial Narrow"/>
      <family val="2"/>
    </font>
    <font>
      <sz val="9"/>
      <color theme="1"/>
      <name val="Arial Narrow"/>
      <family val="2"/>
    </font>
    <font>
      <b/>
      <sz val="9"/>
      <color theme="1"/>
      <name val="Arial Narrow"/>
      <family val="2"/>
    </font>
    <font>
      <u/>
      <sz val="9"/>
      <color theme="1"/>
      <name val="Arial Narrow"/>
      <family val="2"/>
    </font>
    <font>
      <u/>
      <sz val="11"/>
      <color theme="1"/>
      <name val="Calibri"/>
      <family val="2"/>
      <scheme val="minor"/>
    </font>
    <font>
      <b/>
      <sz val="14"/>
      <color theme="1"/>
      <name val="Calibri"/>
      <family val="2"/>
      <scheme val="minor"/>
    </font>
    <font>
      <b/>
      <sz val="12"/>
      <color theme="1"/>
      <name val="Calibri"/>
      <family val="2"/>
      <scheme val="minor"/>
    </font>
    <font>
      <b/>
      <sz val="11"/>
      <color theme="1"/>
      <name val="Calibri"/>
      <family val="2"/>
      <scheme val="minor"/>
    </font>
    <font>
      <b/>
      <sz val="12"/>
      <color theme="1"/>
      <name val="Arial Narrow"/>
      <family val="2"/>
    </font>
    <font>
      <b/>
      <sz val="16"/>
      <color theme="1"/>
      <name val="Calibri"/>
      <family val="2"/>
      <scheme val="minor"/>
    </font>
    <font>
      <b/>
      <sz val="14"/>
      <color theme="1"/>
      <name val="Century Gothic"/>
      <family val="2"/>
    </font>
    <font>
      <sz val="11"/>
      <color theme="1"/>
      <name val="Calibri"/>
      <family val="2"/>
      <scheme val="minor"/>
    </font>
    <font>
      <sz val="8"/>
      <color theme="1"/>
      <name val="Century Gothic"/>
      <family val="2"/>
    </font>
    <font>
      <b/>
      <sz val="10"/>
      <name val="Arial"/>
      <family val="2"/>
    </font>
    <font>
      <b/>
      <sz val="12"/>
      <name val="Arial"/>
      <family val="2"/>
    </font>
    <font>
      <sz val="10"/>
      <name val="Arial"/>
      <family val="2"/>
    </font>
    <font>
      <sz val="12"/>
      <name val="Arial"/>
      <family val="2"/>
    </font>
    <font>
      <b/>
      <sz val="10"/>
      <name val="Arial"/>
      <family val="2"/>
      <charset val="163"/>
    </font>
    <font>
      <sz val="11"/>
      <color indexed="9"/>
      <name val="Calibri"/>
      <family val="2"/>
    </font>
    <font>
      <sz val="11"/>
      <color theme="0"/>
      <name val="Calibri"/>
      <family val="2"/>
      <charset val="1"/>
      <scheme val="minor"/>
    </font>
    <font>
      <sz val="9"/>
      <color theme="1"/>
      <name val="Calibri"/>
      <family val="2"/>
      <scheme val="minor"/>
    </font>
    <font>
      <sz val="11"/>
      <color theme="1"/>
      <name val="Calibri"/>
      <family val="2"/>
    </font>
    <font>
      <sz val="11"/>
      <color rgb="FFFF0000"/>
      <name val="Calibri"/>
      <family val="2"/>
      <scheme val="minor"/>
    </font>
    <font>
      <sz val="10"/>
      <color theme="1"/>
      <name val="Calibri"/>
      <family val="2"/>
      <scheme val="minor"/>
    </font>
    <font>
      <b/>
      <sz val="10"/>
      <color rgb="FFFF0000"/>
      <name val="Arial"/>
      <family val="2"/>
    </font>
    <font>
      <b/>
      <u/>
      <sz val="10"/>
      <color rgb="FFFFFFFF"/>
      <name val="Verdana"/>
      <family val="2"/>
    </font>
    <font>
      <b/>
      <sz val="10"/>
      <color rgb="FFFFFFFF"/>
      <name val="Calibri"/>
      <family val="2"/>
    </font>
    <font>
      <sz val="10"/>
      <color theme="2" tint="-0.89999084444715716"/>
      <name val="Calibri"/>
      <family val="2"/>
      <scheme val="minor"/>
    </font>
    <font>
      <b/>
      <sz val="10"/>
      <name val="Verdana"/>
      <family val="2"/>
    </font>
    <font>
      <sz val="10"/>
      <name val="Calibri"/>
      <family val="2"/>
      <scheme val="minor"/>
    </font>
    <font>
      <b/>
      <sz val="10"/>
      <color rgb="FFFFFFFF"/>
      <name val="Times New Roman"/>
      <family val="1"/>
    </font>
    <font>
      <u/>
      <sz val="10"/>
      <color rgb="FF1C3A8E"/>
      <name val="Verdana"/>
      <family val="2"/>
    </font>
    <font>
      <sz val="10"/>
      <color rgb="FF1C3A8E"/>
      <name val="Times New Roman"/>
      <family val="1"/>
    </font>
    <font>
      <b/>
      <sz val="10"/>
      <color theme="1"/>
      <name val="Calibri"/>
      <family val="2"/>
      <scheme val="minor"/>
    </font>
    <font>
      <sz val="10"/>
      <color rgb="FF1C3A8E"/>
      <name val="Verdana"/>
      <family val="2"/>
    </font>
    <font>
      <b/>
      <sz val="10"/>
      <color rgb="FFFF0000"/>
      <name val="Calibri"/>
      <family val="2"/>
      <scheme val="minor"/>
    </font>
    <font>
      <b/>
      <sz val="10"/>
      <color rgb="FF000000"/>
      <name val="Calibri"/>
      <family val="2"/>
    </font>
    <font>
      <sz val="10"/>
      <color rgb="FF000000"/>
      <name val="Calibri"/>
      <family val="2"/>
    </font>
    <font>
      <sz val="11"/>
      <color theme="2" tint="-0.89999084444715716"/>
      <name val="Calibri"/>
      <family val="2"/>
      <scheme val="minor"/>
    </font>
    <font>
      <b/>
      <sz val="10"/>
      <name val="Calibri"/>
      <family val="2"/>
      <scheme val="minor"/>
    </font>
    <font>
      <sz val="36"/>
      <color rgb="FF000000"/>
      <name val="Calibri"/>
      <family val="2"/>
    </font>
    <font>
      <b/>
      <sz val="12"/>
      <color theme="1"/>
      <name val="Century Gothic"/>
      <family val="2"/>
    </font>
    <font>
      <sz val="12"/>
      <color theme="1"/>
      <name val="Century Gothic"/>
      <family val="2"/>
    </font>
    <font>
      <sz val="12"/>
      <color indexed="8"/>
      <name val="Century Gothic"/>
      <family val="2"/>
    </font>
    <font>
      <sz val="9"/>
      <color theme="1"/>
      <name val="Calibri"/>
      <family val="2"/>
      <charset val="1"/>
      <scheme val="minor"/>
    </font>
    <font>
      <b/>
      <sz val="11"/>
      <color rgb="FFFF0000"/>
      <name val="Calibri"/>
      <family val="2"/>
      <scheme val="minor"/>
    </font>
    <font>
      <b/>
      <i/>
      <sz val="10"/>
      <color indexed="8"/>
      <name val="Century Gothic"/>
      <family val="2"/>
    </font>
    <font>
      <sz val="12"/>
      <name val="Century Gothic"/>
      <family val="2"/>
    </font>
    <font>
      <b/>
      <sz val="12"/>
      <name val="Century Gothic"/>
      <family val="2"/>
    </font>
    <font>
      <sz val="18"/>
      <color theme="1"/>
      <name val="Century Gothic"/>
      <family val="2"/>
    </font>
    <font>
      <b/>
      <sz val="18"/>
      <color theme="1"/>
      <name val="Century Gothic"/>
      <family val="2"/>
    </font>
    <font>
      <sz val="7"/>
      <color theme="1"/>
      <name val="Century Gothic"/>
      <family val="2"/>
    </font>
    <font>
      <sz val="14"/>
      <color theme="1"/>
      <name val="Calibri"/>
      <family val="2"/>
      <scheme val="minor"/>
    </font>
    <font>
      <sz val="10"/>
      <color theme="3" tint="-0.249977111117893"/>
      <name val="Calibri"/>
      <family val="2"/>
      <scheme val="minor"/>
    </font>
    <font>
      <sz val="15"/>
      <color rgb="FF1C3A8E"/>
      <name val="Verdana"/>
      <family val="2"/>
    </font>
    <font>
      <sz val="15"/>
      <color theme="4"/>
      <name val="Verdana"/>
      <family val="2"/>
    </font>
    <font>
      <sz val="15"/>
      <color theme="4"/>
      <name val="Calibri"/>
      <family val="2"/>
    </font>
    <font>
      <sz val="20"/>
      <color rgb="FF1C3A8E"/>
      <name val="Calibri"/>
      <family val="2"/>
    </font>
    <font>
      <u/>
      <sz val="15"/>
      <color rgb="FF1C3A8E"/>
      <name val="Verdana"/>
      <family val="2"/>
    </font>
    <font>
      <sz val="15"/>
      <color rgb="FF1C3A8E"/>
      <name val="Calibri"/>
      <family val="2"/>
    </font>
    <font>
      <b/>
      <u/>
      <sz val="15"/>
      <color rgb="FF1C3A8E"/>
      <name val="Verdana"/>
      <family val="2"/>
    </font>
    <font>
      <sz val="9"/>
      <name val="Arial"/>
      <family val="2"/>
    </font>
    <font>
      <b/>
      <sz val="9"/>
      <color theme="3" tint="0.39997558519241921"/>
      <name val="Calibri"/>
      <family val="2"/>
      <scheme val="minor"/>
    </font>
    <font>
      <b/>
      <sz val="14"/>
      <name val="Calibri"/>
      <family val="2"/>
      <scheme val="minor"/>
    </font>
    <font>
      <b/>
      <sz val="8"/>
      <color indexed="8"/>
      <name val="Century Gothic"/>
      <family val="2"/>
    </font>
    <font>
      <b/>
      <sz val="15"/>
      <color theme="1"/>
      <name val="Calibri"/>
      <family val="2"/>
      <scheme val="minor"/>
    </font>
    <font>
      <b/>
      <sz val="15"/>
      <name val="Arial"/>
      <family val="2"/>
    </font>
    <font>
      <sz val="25"/>
      <color theme="1"/>
      <name val="Century Gothic"/>
      <family val="2"/>
    </font>
    <font>
      <b/>
      <sz val="25"/>
      <color theme="1"/>
      <name val="Century Gothic"/>
      <family val="2"/>
    </font>
    <font>
      <u/>
      <sz val="11"/>
      <color theme="10"/>
      <name val="Calibri"/>
      <family val="2"/>
      <charset val="1"/>
    </font>
    <font>
      <b/>
      <i/>
      <sz val="10"/>
      <color theme="10"/>
      <name val="Calibri"/>
      <family val="2"/>
    </font>
    <font>
      <sz val="11"/>
      <color rgb="FFFF0000"/>
      <name val="Calibri"/>
      <family val="2"/>
      <charset val="1"/>
      <scheme val="minor"/>
    </font>
    <font>
      <sz val="11"/>
      <name val="Calibri"/>
      <family val="2"/>
      <scheme val="minor"/>
    </font>
    <font>
      <b/>
      <sz val="11"/>
      <color theme="1"/>
      <name val="Century Gothic"/>
      <family val="2"/>
    </font>
    <font>
      <sz val="18"/>
      <name val="Calibri"/>
      <family val="2"/>
      <scheme val="minor"/>
    </font>
    <font>
      <i/>
      <sz val="18"/>
      <name val="Calibri"/>
      <family val="2"/>
      <scheme val="minor"/>
    </font>
    <font>
      <u/>
      <sz val="11"/>
      <color theme="1"/>
      <name val="Calibri"/>
      <family val="2"/>
      <charset val="1"/>
      <scheme val="minor"/>
    </font>
    <font>
      <b/>
      <sz val="8"/>
      <color theme="1"/>
      <name val="Century Gothic"/>
      <family val="2"/>
    </font>
    <font>
      <sz val="8"/>
      <color indexed="8"/>
      <name val="Century Gothic"/>
      <family val="2"/>
    </font>
  </fonts>
  <fills count="11">
    <fill>
      <patternFill patternType="none"/>
    </fill>
    <fill>
      <patternFill patternType="gray125"/>
    </fill>
    <fill>
      <patternFill patternType="solid">
        <fgColor rgb="FF438FE3"/>
        <bgColor indexed="64"/>
      </patternFill>
    </fill>
    <fill>
      <patternFill patternType="solid">
        <fgColor rgb="FFCFDBF4"/>
        <bgColor indexed="64"/>
      </patternFill>
    </fill>
    <fill>
      <patternFill patternType="solid">
        <fgColor rgb="FFE9EEFA"/>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s>
  <borders count="70">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rgb="FFFFFFFF"/>
      </right>
      <top style="thin">
        <color theme="0"/>
      </top>
      <bottom style="medium">
        <color indexed="64"/>
      </bottom>
      <diagonal/>
    </border>
    <border>
      <left style="medium">
        <color rgb="FFFFFFFF"/>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theme="0"/>
      </right>
      <top/>
      <bottom/>
      <diagonal/>
    </border>
    <border>
      <left/>
      <right style="thin">
        <color theme="0"/>
      </right>
      <top style="thin">
        <color theme="0"/>
      </top>
      <bottom/>
      <diagonal/>
    </border>
    <border>
      <left style="thin">
        <color indexed="64"/>
      </left>
      <right style="thin">
        <color indexed="64"/>
      </right>
      <top style="medium">
        <color indexed="64"/>
      </top>
      <bottom style="thin">
        <color indexed="64"/>
      </bottom>
      <diagonal/>
    </border>
    <border>
      <left style="medium">
        <color indexed="64"/>
      </left>
      <right/>
      <top style="medium">
        <color rgb="FFFFFFFF"/>
      </top>
      <bottom/>
      <diagonal/>
    </border>
    <border>
      <left style="medium">
        <color indexed="64"/>
      </left>
      <right style="thin">
        <color indexed="64"/>
      </right>
      <top style="thin">
        <color indexed="64"/>
      </top>
      <bottom style="medium">
        <color indexed="64"/>
      </bottom>
      <diagonal/>
    </border>
    <border>
      <left/>
      <right/>
      <top style="medium">
        <color rgb="FFFFFFFF"/>
      </top>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medium">
        <color indexed="64"/>
      </right>
      <top style="thick">
        <color indexed="64"/>
      </top>
      <bottom style="thin">
        <color indexed="64"/>
      </bottom>
      <diagonal/>
    </border>
  </borders>
  <cellStyleXfs count="8">
    <xf numFmtId="0" fontId="0" fillId="0" borderId="0"/>
    <xf numFmtId="165" fontId="18" fillId="0" borderId="0" applyFont="0" applyFill="0" applyBorder="0" applyAlignment="0" applyProtection="0"/>
    <xf numFmtId="164" fontId="18" fillId="0" borderId="0" applyFont="0" applyFill="0" applyBorder="0" applyAlignment="0" applyProtection="0"/>
    <xf numFmtId="0" fontId="99" fillId="0" borderId="0" applyNumberFormat="0" applyFill="0" applyBorder="0" applyAlignment="0" applyProtection="0">
      <alignment vertical="top"/>
      <protection locked="0"/>
    </xf>
    <xf numFmtId="9" fontId="18" fillId="0" borderId="0" applyFont="0" applyFill="0" applyBorder="0" applyAlignment="0" applyProtection="0"/>
    <xf numFmtId="0" fontId="2" fillId="0" borderId="0"/>
    <xf numFmtId="0" fontId="1" fillId="0" borderId="0"/>
    <xf numFmtId="164" fontId="18" fillId="0" borderId="0" applyFont="0" applyFill="0" applyBorder="0" applyAlignment="0" applyProtection="0"/>
  </cellStyleXfs>
  <cellXfs count="1080">
    <xf numFmtId="0" fontId="0" fillId="0" borderId="0" xfId="0"/>
    <xf numFmtId="0" fontId="0" fillId="0" borderId="1" xfId="0" applyBorder="1"/>
    <xf numFmtId="0" fontId="19" fillId="0" borderId="0" xfId="0" applyFont="1"/>
    <xf numFmtId="0" fontId="6" fillId="0" borderId="0" xfId="0" applyFont="1" applyAlignment="1"/>
    <xf numFmtId="0" fontId="6" fillId="0" borderId="1" xfId="0" applyFont="1" applyBorder="1" applyAlignment="1"/>
    <xf numFmtId="0" fontId="19" fillId="0" borderId="1" xfId="0" applyFont="1" applyBorder="1"/>
    <xf numFmtId="3" fontId="6" fillId="0" borderId="2" xfId="0" applyNumberFormat="1" applyFont="1" applyBorder="1" applyAlignment="1"/>
    <xf numFmtId="0" fontId="19" fillId="0" borderId="2" xfId="0" applyFont="1" applyBorder="1"/>
    <xf numFmtId="0" fontId="6" fillId="0" borderId="0" xfId="0" applyFont="1" applyAlignment="1">
      <alignment horizontal="left"/>
    </xf>
    <xf numFmtId="14" fontId="6" fillId="0" borderId="2" xfId="0" applyNumberFormat="1" applyFont="1" applyBorder="1" applyAlignment="1">
      <alignment horizontal="left"/>
    </xf>
    <xf numFmtId="14" fontId="6" fillId="0" borderId="2" xfId="0" applyNumberFormat="1" applyFont="1" applyBorder="1" applyAlignment="1"/>
    <xf numFmtId="0" fontId="19" fillId="0" borderId="0" xfId="0" applyFont="1" applyBorder="1"/>
    <xf numFmtId="0" fontId="20" fillId="0" borderId="0" xfId="0" applyFont="1" applyBorder="1" applyAlignment="1"/>
    <xf numFmtId="0" fontId="19" fillId="0" borderId="0" xfId="0" applyFont="1" applyBorder="1" applyAlignment="1"/>
    <xf numFmtId="0" fontId="19" fillId="0" borderId="1" xfId="0" applyFont="1" applyBorder="1" applyAlignment="1"/>
    <xf numFmtId="0" fontId="19" fillId="0" borderId="0" xfId="0" applyFont="1" applyBorder="1" applyAlignment="1">
      <alignment vertical="top"/>
    </xf>
    <xf numFmtId="0" fontId="20" fillId="0" borderId="0" xfId="0" applyFont="1" applyFill="1" applyBorder="1" applyAlignment="1"/>
    <xf numFmtId="0" fontId="20" fillId="0" borderId="0" xfId="0" applyFont="1" applyBorder="1"/>
    <xf numFmtId="0" fontId="19" fillId="0" borderId="0" xfId="0" applyFont="1" applyBorder="1" applyAlignment="1">
      <alignment horizontal="left"/>
    </xf>
    <xf numFmtId="0" fontId="20" fillId="0" borderId="0" xfId="0" applyFont="1" applyBorder="1" applyAlignment="1">
      <alignment vertical="center"/>
    </xf>
    <xf numFmtId="0" fontId="19" fillId="0" borderId="0" xfId="0" applyFont="1" applyBorder="1" applyAlignment="1">
      <alignment vertical="center"/>
    </xf>
    <xf numFmtId="0" fontId="19" fillId="0" borderId="0" xfId="0" applyFont="1" applyAlignment="1">
      <alignment vertical="center"/>
    </xf>
    <xf numFmtId="0" fontId="19" fillId="0" borderId="0" xfId="0" applyFont="1" applyBorder="1" applyAlignment="1">
      <alignment horizontal="justify" vertical="center"/>
    </xf>
    <xf numFmtId="0" fontId="8" fillId="0" borderId="0" xfId="0" applyFont="1" applyAlignment="1"/>
    <xf numFmtId="0" fontId="8" fillId="0" borderId="0" xfId="0" applyFont="1" applyAlignment="1">
      <alignment horizontal="right"/>
    </xf>
    <xf numFmtId="167" fontId="8" fillId="0" borderId="0" xfId="1" applyNumberFormat="1" applyFont="1" applyAlignment="1"/>
    <xf numFmtId="0" fontId="20" fillId="0" borderId="0" xfId="0" applyFont="1"/>
    <xf numFmtId="0" fontId="6" fillId="0" borderId="0" xfId="0" applyFont="1" applyBorder="1" applyAlignment="1">
      <alignment horizontal="justify" vertical="center"/>
    </xf>
    <xf numFmtId="0" fontId="6" fillId="0" borderId="0" xfId="0" applyFont="1"/>
    <xf numFmtId="0" fontId="8" fillId="0" borderId="3" xfId="0" applyFont="1" applyBorder="1" applyAlignment="1">
      <alignment horizontal="center"/>
    </xf>
    <xf numFmtId="0" fontId="8" fillId="0" borderId="0" xfId="0" applyFont="1" applyBorder="1" applyAlignment="1">
      <alignment horizontal="center"/>
    </xf>
    <xf numFmtId="0" fontId="8" fillId="0" borderId="4" xfId="0" applyFont="1" applyBorder="1" applyAlignment="1">
      <alignment horizontal="center"/>
    </xf>
    <xf numFmtId="0" fontId="20" fillId="0" borderId="0"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6" fillId="0" borderId="0" xfId="0" applyFont="1" applyBorder="1" applyAlignment="1">
      <alignment horizontal="center"/>
    </xf>
    <xf numFmtId="0" fontId="20" fillId="0" borderId="4" xfId="0" applyFont="1" applyBorder="1" applyAlignment="1">
      <alignment horizontal="center"/>
    </xf>
    <xf numFmtId="0" fontId="21" fillId="0" borderId="0" xfId="0" applyFont="1" applyBorder="1" applyAlignment="1">
      <alignment horizontal="center"/>
    </xf>
    <xf numFmtId="0" fontId="6" fillId="0" borderId="0" xfId="0" applyFont="1" applyBorder="1"/>
    <xf numFmtId="0" fontId="22" fillId="0" borderId="0" xfId="0" applyFont="1" applyBorder="1" applyAlignment="1">
      <alignment horizontal="center"/>
    </xf>
    <xf numFmtId="0" fontId="9" fillId="0" borderId="0" xfId="0" applyFont="1" applyAlignment="1"/>
    <xf numFmtId="0" fontId="20" fillId="0" borderId="5" xfId="0" applyFont="1" applyBorder="1" applyAlignment="1">
      <alignment horizontal="center"/>
    </xf>
    <xf numFmtId="0" fontId="22" fillId="0" borderId="0" xfId="0" applyFont="1" applyBorder="1"/>
    <xf numFmtId="0" fontId="9" fillId="0" borderId="0" xfId="0" applyFont="1"/>
    <xf numFmtId="0" fontId="6" fillId="0" borderId="0" xfId="0" applyFont="1" applyBorder="1" applyAlignment="1"/>
    <xf numFmtId="0" fontId="6" fillId="0" borderId="2" xfId="0" applyFont="1" applyBorder="1" applyAlignment="1"/>
    <xf numFmtId="0" fontId="8" fillId="0" borderId="0" xfId="0" applyFont="1"/>
    <xf numFmtId="0" fontId="6" fillId="0" borderId="0" xfId="0" applyFont="1" applyFill="1" applyBorder="1" applyAlignment="1"/>
    <xf numFmtId="0" fontId="23" fillId="0" borderId="0" xfId="0" applyFont="1"/>
    <xf numFmtId="164" fontId="6" fillId="0" borderId="1" xfId="2" applyFont="1" applyBorder="1"/>
    <xf numFmtId="0" fontId="23" fillId="0" borderId="1" xfId="0" applyFont="1" applyBorder="1"/>
    <xf numFmtId="0" fontId="19" fillId="0" borderId="0" xfId="0" applyFont="1" applyFill="1" applyBorder="1" applyAlignment="1"/>
    <xf numFmtId="0" fontId="19" fillId="0" borderId="0" xfId="0" applyFont="1" applyAlignment="1">
      <alignment horizontal="center"/>
    </xf>
    <xf numFmtId="0" fontId="19" fillId="0" borderId="5" xfId="0" applyFont="1" applyBorder="1"/>
    <xf numFmtId="0" fontId="19" fillId="0" borderId="6" xfId="0" applyFont="1" applyBorder="1"/>
    <xf numFmtId="167" fontId="6" fillId="0" borderId="0" xfId="1" applyNumberFormat="1" applyFont="1" applyBorder="1"/>
    <xf numFmtId="0" fontId="8" fillId="0" borderId="0" xfId="0" applyFont="1" applyBorder="1" applyAlignment="1">
      <alignment horizontal="left"/>
    </xf>
    <xf numFmtId="167" fontId="8" fillId="0" borderId="0" xfId="1" applyNumberFormat="1" applyFont="1" applyBorder="1"/>
    <xf numFmtId="165" fontId="6" fillId="0" borderId="0" xfId="1" applyFont="1" applyBorder="1"/>
    <xf numFmtId="167" fontId="6" fillId="0" borderId="0" xfId="1" applyNumberFormat="1" applyFont="1" applyBorder="1" applyAlignment="1"/>
    <xf numFmtId="167" fontId="6" fillId="0" borderId="0" xfId="0" applyNumberFormat="1" applyFont="1" applyBorder="1"/>
    <xf numFmtId="167" fontId="6" fillId="0" borderId="1" xfId="1" applyNumberFormat="1" applyFont="1" applyBorder="1" applyAlignment="1"/>
    <xf numFmtId="167" fontId="6" fillId="0" borderId="1" xfId="0" applyNumberFormat="1" applyFont="1" applyBorder="1"/>
    <xf numFmtId="167" fontId="6" fillId="0" borderId="8" xfId="0" applyNumberFormat="1" applyFont="1" applyBorder="1"/>
    <xf numFmtId="0" fontId="6" fillId="0" borderId="8" xfId="0" applyFont="1" applyBorder="1"/>
    <xf numFmtId="0" fontId="6" fillId="0" borderId="13" xfId="0" applyFont="1" applyBorder="1"/>
    <xf numFmtId="0" fontId="8" fillId="0" borderId="0" xfId="0" applyFont="1" applyBorder="1" applyAlignment="1"/>
    <xf numFmtId="167" fontId="8" fillId="0" borderId="0" xfId="0" applyNumberFormat="1" applyFont="1" applyBorder="1" applyAlignment="1"/>
    <xf numFmtId="167" fontId="19" fillId="0" borderId="0" xfId="0" applyNumberFormat="1" applyFont="1" applyBorder="1"/>
    <xf numFmtId="167" fontId="24" fillId="0" borderId="0" xfId="1" applyNumberFormat="1" applyFont="1" applyBorder="1" applyAlignment="1"/>
    <xf numFmtId="167" fontId="25" fillId="0" borderId="0" xfId="1" applyNumberFormat="1" applyFont="1" applyBorder="1" applyAlignment="1"/>
    <xf numFmtId="0" fontId="8" fillId="0" borderId="0" xfId="0" applyFont="1" applyBorder="1"/>
    <xf numFmtId="167" fontId="26" fillId="0" borderId="0" xfId="0" applyNumberFormat="1" applyFont="1" applyBorder="1"/>
    <xf numFmtId="167" fontId="11" fillId="0" borderId="0" xfId="1" applyNumberFormat="1" applyFont="1" applyBorder="1" applyAlignment="1"/>
    <xf numFmtId="167" fontId="6" fillId="0" borderId="13" xfId="1" applyNumberFormat="1" applyFont="1" applyBorder="1" applyAlignment="1"/>
    <xf numFmtId="0" fontId="20" fillId="0" borderId="1" xfId="0" applyFont="1" applyBorder="1"/>
    <xf numFmtId="0" fontId="6" fillId="0" borderId="3" xfId="0" applyFont="1" applyBorder="1" applyAlignment="1"/>
    <xf numFmtId="0" fontId="6" fillId="0" borderId="5" xfId="0" applyFont="1" applyBorder="1"/>
    <xf numFmtId="0" fontId="6" fillId="0" borderId="5" xfId="0" applyFont="1" applyBorder="1" applyAlignment="1">
      <alignment horizontal="center"/>
    </xf>
    <xf numFmtId="0" fontId="19" fillId="0" borderId="12" xfId="0" applyFont="1" applyBorder="1" applyAlignment="1"/>
    <xf numFmtId="167" fontId="6" fillId="0" borderId="12" xfId="0" applyNumberFormat="1" applyFont="1" applyBorder="1"/>
    <xf numFmtId="0" fontId="27" fillId="0" borderId="0" xfId="0" applyFont="1"/>
    <xf numFmtId="0" fontId="28" fillId="0" borderId="0" xfId="0" applyFont="1"/>
    <xf numFmtId="0" fontId="27" fillId="0" borderId="0" xfId="0" applyFont="1" applyBorder="1"/>
    <xf numFmtId="17" fontId="19" fillId="0" borderId="0" xfId="0" applyNumberFormat="1" applyFont="1" applyBorder="1" applyAlignment="1"/>
    <xf numFmtId="167" fontId="19" fillId="0" borderId="0" xfId="1" applyNumberFormat="1" applyFont="1" applyBorder="1" applyAlignment="1">
      <alignment horizontal="right"/>
    </xf>
    <xf numFmtId="167" fontId="19" fillId="0" borderId="0" xfId="1" applyNumberFormat="1" applyFont="1" applyBorder="1" applyAlignment="1"/>
    <xf numFmtId="17" fontId="19" fillId="0" borderId="0" xfId="0" applyNumberFormat="1" applyFont="1" applyBorder="1" applyAlignment="1">
      <alignment vertical="top"/>
    </xf>
    <xf numFmtId="169" fontId="20" fillId="0" borderId="0" xfId="1" applyNumberFormat="1" applyFont="1" applyBorder="1" applyAlignment="1"/>
    <xf numFmtId="167" fontId="19" fillId="0" borderId="0" xfId="1" applyNumberFormat="1" applyFont="1" applyBorder="1" applyAlignment="1">
      <alignment horizontal="left"/>
    </xf>
    <xf numFmtId="164" fontId="19" fillId="0" borderId="0" xfId="2" applyFont="1" applyBorder="1" applyAlignment="1">
      <alignment horizontal="right"/>
    </xf>
    <xf numFmtId="0" fontId="20" fillId="0" borderId="0" xfId="0" applyFont="1" applyBorder="1" applyAlignment="1">
      <alignment horizontal="left"/>
    </xf>
    <xf numFmtId="0" fontId="0" fillId="0" borderId="0" xfId="0" applyAlignment="1"/>
    <xf numFmtId="0" fontId="0" fillId="0" borderId="0" xfId="0" applyAlignment="1">
      <alignment horizontal="left"/>
    </xf>
    <xf numFmtId="0" fontId="29" fillId="0" borderId="0" xfId="0" applyFont="1"/>
    <xf numFmtId="0" fontId="30" fillId="0" borderId="0" xfId="0" applyFont="1"/>
    <xf numFmtId="0" fontId="30" fillId="0" borderId="0" xfId="0" applyFont="1" applyAlignment="1">
      <alignment horizontal="left"/>
    </xf>
    <xf numFmtId="0" fontId="31" fillId="0" borderId="0" xfId="0" applyFont="1" applyAlignment="1">
      <alignment horizontal="left"/>
    </xf>
    <xf numFmtId="0" fontId="31" fillId="0" borderId="1" xfId="0" applyFont="1" applyBorder="1" applyAlignment="1"/>
    <xf numFmtId="0" fontId="31" fillId="0" borderId="8" xfId="0" applyFont="1" applyBorder="1"/>
    <xf numFmtId="14" fontId="31" fillId="0" borderId="1" xfId="0" applyNumberFormat="1" applyFont="1" applyBorder="1" applyAlignment="1"/>
    <xf numFmtId="0" fontId="31" fillId="0" borderId="2" xfId="0" applyFont="1" applyBorder="1" applyAlignment="1"/>
    <xf numFmtId="0" fontId="31" fillId="0" borderId="0" xfId="0" applyFont="1"/>
    <xf numFmtId="0" fontId="31" fillId="0" borderId="0" xfId="0" applyFont="1" applyAlignment="1"/>
    <xf numFmtId="0" fontId="31" fillId="0" borderId="15" xfId="0" applyFont="1" applyBorder="1" applyAlignment="1"/>
    <xf numFmtId="14" fontId="31" fillId="0" borderId="2" xfId="0" applyNumberFormat="1" applyFont="1" applyBorder="1" applyAlignment="1"/>
    <xf numFmtId="0" fontId="31" fillId="0" borderId="0" xfId="0" applyFont="1" applyAlignment="1">
      <alignment horizontal="right"/>
    </xf>
    <xf numFmtId="0" fontId="31" fillId="0" borderId="2" xfId="0" applyFont="1" applyBorder="1"/>
    <xf numFmtId="0" fontId="0" fillId="0" borderId="2" xfId="0" applyBorder="1"/>
    <xf numFmtId="0" fontId="31" fillId="0" borderId="2" xfId="0" applyFont="1" applyBorder="1" applyAlignment="1">
      <alignment horizontal="left"/>
    </xf>
    <xf numFmtId="0" fontId="31" fillId="0" borderId="0" xfId="0" applyFont="1" applyAlignment="1">
      <alignment vertical="center"/>
    </xf>
    <xf numFmtId="0" fontId="31" fillId="0" borderId="0" xfId="0" applyFont="1" applyAlignment="1">
      <alignment horizontal="left" vertical="center"/>
    </xf>
    <xf numFmtId="0" fontId="31" fillId="0" borderId="4" xfId="0" applyFont="1" applyBorder="1" applyAlignment="1">
      <alignment horizontal="center"/>
    </xf>
    <xf numFmtId="0" fontId="31" fillId="0" borderId="4" xfId="0" applyFont="1" applyBorder="1" applyAlignment="1">
      <alignment horizontal="left"/>
    </xf>
    <xf numFmtId="0" fontId="31" fillId="0" borderId="4" xfId="0" applyFont="1" applyBorder="1"/>
    <xf numFmtId="0" fontId="31" fillId="0" borderId="0" xfId="0" applyFont="1" applyBorder="1" applyAlignment="1"/>
    <xf numFmtId="0" fontId="32" fillId="0" borderId="0" xfId="0" applyFont="1" applyAlignment="1"/>
    <xf numFmtId="0" fontId="33" fillId="0" borderId="0" xfId="0" applyFont="1" applyBorder="1" applyAlignment="1"/>
    <xf numFmtId="0" fontId="0" fillId="0" borderId="0" xfId="0" applyBorder="1" applyAlignment="1"/>
    <xf numFmtId="0" fontId="0" fillId="0" borderId="0" xfId="0" applyAlignment="1">
      <alignment horizontal="right"/>
    </xf>
    <xf numFmtId="0" fontId="0" fillId="0" borderId="1" xfId="0" applyBorder="1" applyAlignment="1"/>
    <xf numFmtId="0" fontId="34" fillId="0" borderId="0" xfId="0" applyFont="1" applyAlignment="1"/>
    <xf numFmtId="1" fontId="31" fillId="0" borderId="1" xfId="0" applyNumberFormat="1" applyFont="1" applyBorder="1" applyAlignment="1"/>
    <xf numFmtId="0" fontId="0" fillId="0" borderId="0" xfId="0" applyAlignment="1">
      <alignment horizontal="center"/>
    </xf>
    <xf numFmtId="0" fontId="0" fillId="0" borderId="0" xfId="0" applyAlignment="1">
      <alignment horizontal="left"/>
    </xf>
    <xf numFmtId="166" fontId="19" fillId="0" borderId="12" xfId="2" applyNumberFormat="1" applyFont="1" applyBorder="1" applyAlignment="1"/>
    <xf numFmtId="0" fontId="5" fillId="0" borderId="12" xfId="0" applyFont="1" applyBorder="1" applyAlignment="1">
      <alignment horizontal="left"/>
    </xf>
    <xf numFmtId="0" fontId="5" fillId="0" borderId="2" xfId="1" applyNumberFormat="1" applyFont="1" applyBorder="1" applyAlignment="1"/>
    <xf numFmtId="0" fontId="6" fillId="0" borderId="2" xfId="1" applyNumberFormat="1" applyFont="1" applyBorder="1" applyAlignment="1"/>
    <xf numFmtId="165" fontId="5" fillId="0" borderId="12" xfId="1" applyFont="1" applyBorder="1"/>
    <xf numFmtId="0" fontId="5" fillId="0" borderId="12" xfId="0" applyFont="1" applyBorder="1"/>
    <xf numFmtId="167" fontId="5" fillId="0" borderId="1" xfId="0" applyNumberFormat="1" applyFont="1" applyBorder="1"/>
    <xf numFmtId="0" fontId="6" fillId="0" borderId="9" xfId="0" applyNumberFormat="1" applyFont="1" applyBorder="1" applyAlignment="1"/>
    <xf numFmtId="0" fontId="19" fillId="0" borderId="9" xfId="0" applyNumberFormat="1" applyFont="1" applyBorder="1"/>
    <xf numFmtId="0" fontId="6" fillId="0" borderId="9" xfId="0" applyNumberFormat="1" applyFont="1" applyBorder="1"/>
    <xf numFmtId="0" fontId="6" fillId="0" borderId="9" xfId="0" applyNumberFormat="1" applyFont="1" applyFill="1" applyBorder="1"/>
    <xf numFmtId="0" fontId="6" fillId="0" borderId="10" xfId="0" applyNumberFormat="1" applyFont="1" applyBorder="1"/>
    <xf numFmtId="0" fontId="6" fillId="0" borderId="0" xfId="0" applyNumberFormat="1" applyFont="1" applyBorder="1"/>
    <xf numFmtId="0" fontId="19" fillId="0" borderId="10" xfId="0" applyNumberFormat="1" applyFont="1" applyBorder="1"/>
    <xf numFmtId="0" fontId="19" fillId="0" borderId="0" xfId="0" applyNumberFormat="1" applyFont="1"/>
    <xf numFmtId="0" fontId="6" fillId="0" borderId="7" xfId="0" applyNumberFormat="1" applyFont="1" applyBorder="1"/>
    <xf numFmtId="0" fontId="8" fillId="0" borderId="9" xfId="0" applyNumberFormat="1" applyFont="1" applyBorder="1"/>
    <xf numFmtId="0" fontId="8" fillId="0" borderId="10" xfId="0" applyNumberFormat="1" applyFont="1" applyBorder="1"/>
    <xf numFmtId="0" fontId="19" fillId="0" borderId="0" xfId="0" applyNumberFormat="1" applyFont="1" applyBorder="1"/>
    <xf numFmtId="0" fontId="19" fillId="0" borderId="9" xfId="0" applyNumberFormat="1" applyFont="1" applyBorder="1" applyAlignment="1"/>
    <xf numFmtId="0" fontId="6" fillId="0" borderId="1" xfId="0" applyNumberFormat="1" applyFont="1" applyBorder="1"/>
    <xf numFmtId="0" fontId="6" fillId="0" borderId="3" xfId="0" applyNumberFormat="1" applyFont="1" applyBorder="1" applyAlignment="1"/>
    <xf numFmtId="0" fontId="6" fillId="0" borderId="5" xfId="0" applyNumberFormat="1" applyFont="1" applyBorder="1"/>
    <xf numFmtId="0" fontId="6" fillId="0" borderId="5" xfId="0" applyNumberFormat="1" applyFont="1" applyBorder="1" applyAlignment="1">
      <alignment horizontal="center"/>
    </xf>
    <xf numFmtId="0" fontId="19" fillId="0" borderId="5" xfId="0" applyNumberFormat="1" applyFont="1" applyBorder="1"/>
    <xf numFmtId="0" fontId="19" fillId="0" borderId="6" xfId="0" applyNumberFormat="1" applyFont="1" applyBorder="1"/>
    <xf numFmtId="164" fontId="5" fillId="0" borderId="12" xfId="2" applyFont="1" applyBorder="1" applyAlignment="1"/>
    <xf numFmtId="167" fontId="7" fillId="0" borderId="1" xfId="0" applyNumberFormat="1" applyFont="1" applyBorder="1"/>
    <xf numFmtId="0" fontId="7" fillId="0" borderId="0" xfId="0" applyNumberFormat="1" applyFont="1" applyBorder="1"/>
    <xf numFmtId="0" fontId="7" fillId="0" borderId="10" xfId="0" applyNumberFormat="1" applyFont="1" applyBorder="1"/>
    <xf numFmtId="0" fontId="20" fillId="0" borderId="9" xfId="0" applyNumberFormat="1" applyFont="1" applyBorder="1"/>
    <xf numFmtId="167" fontId="7" fillId="0" borderId="0" xfId="0" applyNumberFormat="1" applyFont="1" applyBorder="1"/>
    <xf numFmtId="0" fontId="7" fillId="0" borderId="11" xfId="0" applyFont="1" applyBorder="1" applyAlignment="1"/>
    <xf numFmtId="164" fontId="6" fillId="0" borderId="16" xfId="2" applyFont="1" applyBorder="1"/>
    <xf numFmtId="167" fontId="8" fillId="0" borderId="16" xfId="0" applyNumberFormat="1" applyFont="1" applyBorder="1"/>
    <xf numFmtId="0" fontId="7" fillId="0" borderId="9" xfId="0" applyNumberFormat="1" applyFont="1" applyBorder="1"/>
    <xf numFmtId="0" fontId="5" fillId="0" borderId="2" xfId="0" applyFont="1" applyBorder="1" applyAlignment="1"/>
    <xf numFmtId="0" fontId="5" fillId="0" borderId="1" xfId="0" applyFont="1" applyBorder="1" applyAlignment="1"/>
    <xf numFmtId="0" fontId="5" fillId="0" borderId="0" xfId="0" applyFont="1"/>
    <xf numFmtId="0" fontId="7" fillId="0" borderId="0" xfId="0" applyFont="1" applyAlignment="1"/>
    <xf numFmtId="164" fontId="7" fillId="0" borderId="1" xfId="2" applyFont="1" applyBorder="1"/>
    <xf numFmtId="0" fontId="12" fillId="0" borderId="0" xfId="0" applyFont="1" applyBorder="1" applyAlignment="1"/>
    <xf numFmtId="0" fontId="11" fillId="0" borderId="0" xfId="0" applyFont="1" applyBorder="1" applyAlignment="1"/>
    <xf numFmtId="0" fontId="11" fillId="0" borderId="0" xfId="0" applyFont="1" applyBorder="1"/>
    <xf numFmtId="167" fontId="11" fillId="0" borderId="0" xfId="0" applyNumberFormat="1" applyFont="1" applyBorder="1"/>
    <xf numFmtId="15" fontId="31" fillId="0" borderId="0" xfId="0" applyNumberFormat="1" applyFont="1"/>
    <xf numFmtId="167" fontId="20" fillId="0" borderId="0" xfId="1" applyNumberFormat="1" applyFont="1" applyBorder="1" applyAlignment="1">
      <alignment horizontal="right"/>
    </xf>
    <xf numFmtId="167" fontId="11" fillId="0" borderId="0" xfId="1" applyNumberFormat="1" applyFont="1" applyBorder="1" applyAlignment="1">
      <alignment horizontal="right"/>
    </xf>
    <xf numFmtId="167" fontId="11" fillId="0" borderId="0" xfId="0" applyNumberFormat="1" applyFont="1" applyBorder="1" applyAlignment="1">
      <alignment horizontal="right"/>
    </xf>
    <xf numFmtId="1" fontId="19" fillId="0" borderId="1" xfId="0" applyNumberFormat="1" applyFont="1" applyBorder="1" applyAlignment="1"/>
    <xf numFmtId="167" fontId="8" fillId="0" borderId="12" xfId="0" applyNumberFormat="1" applyFont="1" applyBorder="1"/>
    <xf numFmtId="0" fontId="31" fillId="0" borderId="0" xfId="0" applyFont="1" applyAlignment="1">
      <alignment horizontal="left" vertical="center"/>
    </xf>
    <xf numFmtId="3" fontId="5" fillId="0" borderId="2" xfId="0" applyNumberFormat="1" applyFont="1" applyBorder="1" applyAlignment="1"/>
    <xf numFmtId="0" fontId="31" fillId="0" borderId="4" xfId="0" applyFont="1" applyBorder="1" applyAlignment="1">
      <alignment horizontal="center"/>
    </xf>
    <xf numFmtId="1" fontId="0" fillId="0" borderId="0" xfId="0" applyNumberFormat="1"/>
    <xf numFmtId="164" fontId="0" fillId="0" borderId="0" xfId="2" applyFont="1"/>
    <xf numFmtId="0" fontId="7" fillId="0" borderId="4" xfId="0" applyFont="1" applyBorder="1" applyAlignment="1">
      <alignment horizontal="center"/>
    </xf>
    <xf numFmtId="14" fontId="0" fillId="0" borderId="0" xfId="0" applyNumberFormat="1"/>
    <xf numFmtId="14" fontId="19" fillId="0" borderId="0" xfId="0" applyNumberFormat="1" applyFont="1" applyBorder="1" applyAlignment="1"/>
    <xf numFmtId="167" fontId="41" fillId="0" borderId="0" xfId="1" applyNumberFormat="1" applyFont="1"/>
    <xf numFmtId="167" fontId="37" fillId="0" borderId="0" xfId="1" applyNumberFormat="1" applyFont="1" applyBorder="1"/>
    <xf numFmtId="10" fontId="19" fillId="0" borderId="12" xfId="0" applyNumberFormat="1" applyFont="1" applyBorder="1" applyAlignment="1"/>
    <xf numFmtId="1" fontId="0" fillId="0" borderId="1" xfId="0" applyNumberFormat="1" applyBorder="1" applyAlignment="1"/>
    <xf numFmtId="0" fontId="43" fillId="0" borderId="0" xfId="0" applyFont="1"/>
    <xf numFmtId="0" fontId="43" fillId="0" borderId="0" xfId="0" applyFont="1" applyAlignment="1">
      <alignment horizontal="right"/>
    </xf>
    <xf numFmtId="0" fontId="37" fillId="0" borderId="0" xfId="0" applyFont="1"/>
    <xf numFmtId="0" fontId="45" fillId="0" borderId="4" xfId="0" applyFont="1" applyBorder="1" applyAlignment="1">
      <alignment horizontal="center"/>
    </xf>
    <xf numFmtId="0" fontId="45" fillId="0" borderId="4" xfId="0" applyFont="1" applyBorder="1"/>
    <xf numFmtId="0" fontId="46" fillId="0" borderId="0" xfId="0" applyFont="1" applyAlignment="1"/>
    <xf numFmtId="0" fontId="46" fillId="0" borderId="32" xfId="0" applyFont="1" applyBorder="1" applyAlignment="1">
      <alignment horizontal="center"/>
    </xf>
    <xf numFmtId="0" fontId="46" fillId="0" borderId="33" xfId="0" applyFont="1" applyBorder="1" applyAlignment="1">
      <alignment horizontal="center"/>
    </xf>
    <xf numFmtId="9" fontId="0" fillId="0" borderId="4" xfId="0" applyNumberFormat="1" applyBorder="1" applyAlignment="1">
      <alignment horizontal="center"/>
    </xf>
    <xf numFmtId="9" fontId="0" fillId="0" borderId="3" xfId="0" applyNumberFormat="1" applyBorder="1" applyAlignment="1">
      <alignment horizontal="center"/>
    </xf>
    <xf numFmtId="168" fontId="43" fillId="0" borderId="34" xfId="0" applyNumberFormat="1" applyFont="1" applyBorder="1"/>
    <xf numFmtId="0" fontId="36" fillId="0" borderId="4" xfId="0" applyFont="1" applyBorder="1" applyAlignment="1">
      <alignment horizontal="center"/>
    </xf>
    <xf numFmtId="14" fontId="37" fillId="0" borderId="0" xfId="0" applyNumberFormat="1" applyFont="1" applyAlignment="1">
      <alignment horizontal="center"/>
    </xf>
    <xf numFmtId="0" fontId="48" fillId="0" borderId="0" xfId="0" applyFont="1" applyBorder="1"/>
    <xf numFmtId="0" fontId="0" fillId="0" borderId="0" xfId="0" applyAlignment="1">
      <alignment textRotation="135"/>
    </xf>
    <xf numFmtId="1" fontId="5" fillId="0" borderId="12" xfId="0" applyNumberFormat="1" applyFont="1" applyBorder="1" applyAlignment="1">
      <alignment horizontal="left"/>
    </xf>
    <xf numFmtId="0" fontId="5" fillId="0" borderId="0" xfId="0" applyFont="1" applyAlignment="1"/>
    <xf numFmtId="0" fontId="31" fillId="0" borderId="0" xfId="0" applyFont="1" applyAlignment="1">
      <alignment horizontal="left" vertical="center"/>
    </xf>
    <xf numFmtId="0" fontId="5" fillId="0" borderId="9" xfId="0" applyNumberFormat="1" applyFont="1" applyBorder="1"/>
    <xf numFmtId="0" fontId="7" fillId="0" borderId="6" xfId="0" applyFont="1" applyBorder="1" applyAlignment="1">
      <alignment horizontal="center"/>
    </xf>
    <xf numFmtId="0" fontId="21" fillId="0" borderId="0" xfId="0" applyFont="1" applyBorder="1" applyAlignment="1"/>
    <xf numFmtId="164" fontId="19" fillId="0" borderId="0" xfId="0" applyNumberFormat="1" applyFont="1"/>
    <xf numFmtId="38" fontId="19" fillId="0" borderId="0" xfId="0" applyNumberFormat="1" applyFont="1"/>
    <xf numFmtId="165" fontId="19" fillId="0" borderId="0" xfId="0" applyNumberFormat="1" applyFont="1"/>
    <xf numFmtId="167" fontId="19" fillId="0" borderId="0" xfId="0" applyNumberFormat="1" applyFont="1" applyBorder="1" applyAlignment="1">
      <alignment vertical="top"/>
    </xf>
    <xf numFmtId="0" fontId="31" fillId="0" borderId="2" xfId="0" applyFont="1" applyBorder="1" applyAlignment="1">
      <alignment horizontal="left"/>
    </xf>
    <xf numFmtId="14" fontId="5" fillId="0" borderId="1" xfId="0" applyNumberFormat="1" applyFont="1" applyBorder="1" applyAlignment="1"/>
    <xf numFmtId="164" fontId="19" fillId="0" borderId="0" xfId="2" applyFont="1"/>
    <xf numFmtId="167" fontId="19" fillId="0" borderId="0" xfId="0" applyNumberFormat="1" applyFont="1"/>
    <xf numFmtId="0" fontId="0" fillId="0" borderId="0" xfId="0" applyFill="1" applyBorder="1" applyAlignment="1">
      <alignment horizontal="center"/>
    </xf>
    <xf numFmtId="0" fontId="0" fillId="0" borderId="0" xfId="0" applyAlignment="1">
      <alignment horizontal="center"/>
    </xf>
    <xf numFmtId="1" fontId="0" fillId="0" borderId="0" xfId="0" quotePrefix="1" applyNumberFormat="1"/>
    <xf numFmtId="164" fontId="7" fillId="0" borderId="0" xfId="2" applyFont="1" applyBorder="1"/>
    <xf numFmtId="164" fontId="0" fillId="0" borderId="0" xfId="0" applyNumberFormat="1"/>
    <xf numFmtId="0" fontId="49" fillId="0" borderId="0" xfId="0" applyFont="1"/>
    <xf numFmtId="164" fontId="49" fillId="0" borderId="0" xfId="0" applyNumberFormat="1" applyFont="1"/>
    <xf numFmtId="0" fontId="37" fillId="0" borderId="0" xfId="0" applyFont="1" applyAlignment="1">
      <alignment horizontal="center"/>
    </xf>
    <xf numFmtId="164" fontId="37" fillId="0" borderId="0" xfId="0" applyNumberFormat="1" applyFont="1"/>
    <xf numFmtId="10" fontId="0" fillId="0" borderId="0" xfId="2" applyNumberFormat="1" applyFont="1"/>
    <xf numFmtId="0" fontId="49" fillId="0" borderId="0" xfId="0" applyFont="1" applyBorder="1"/>
    <xf numFmtId="14" fontId="5" fillId="0" borderId="2" xfId="0" applyNumberFormat="1" applyFont="1" applyBorder="1" applyAlignment="1">
      <alignment horizontal="left"/>
    </xf>
    <xf numFmtId="0" fontId="7" fillId="0" borderId="0" xfId="0" applyFont="1"/>
    <xf numFmtId="17" fontId="22" fillId="0" borderId="0" xfId="0" applyNumberFormat="1" applyFont="1" applyBorder="1" applyAlignment="1">
      <alignment vertical="top"/>
    </xf>
    <xf numFmtId="167" fontId="4" fillId="0" borderId="0" xfId="1" applyNumberFormat="1" applyFont="1" applyBorder="1"/>
    <xf numFmtId="164" fontId="20" fillId="0" borderId="0" xfId="2" applyFont="1" applyBorder="1" applyAlignment="1">
      <alignment vertical="center"/>
    </xf>
    <xf numFmtId="164" fontId="20" fillId="0" borderId="0" xfId="0" applyNumberFormat="1" applyFont="1" applyBorder="1" applyAlignment="1">
      <alignment vertical="center"/>
    </xf>
    <xf numFmtId="0" fontId="53" fillId="0" borderId="0" xfId="0" applyFont="1"/>
    <xf numFmtId="0" fontId="53" fillId="0" borderId="20" xfId="0" applyFont="1" applyBorder="1"/>
    <xf numFmtId="0" fontId="53" fillId="0" borderId="0" xfId="0" applyFont="1" applyBorder="1"/>
    <xf numFmtId="0" fontId="59" fillId="0" borderId="0" xfId="0" applyFont="1" applyBorder="1"/>
    <xf numFmtId="0" fontId="59" fillId="0" borderId="27" xfId="0" applyFont="1" applyBorder="1"/>
    <xf numFmtId="0" fontId="58" fillId="0" borderId="26" xfId="0" applyFont="1" applyBorder="1" applyAlignment="1">
      <alignment horizontal="left" readingOrder="1"/>
    </xf>
    <xf numFmtId="0" fontId="53" fillId="0" borderId="26" xfId="0" applyFont="1" applyBorder="1"/>
    <xf numFmtId="0" fontId="53" fillId="0" borderId="27" xfId="0" applyFont="1" applyBorder="1"/>
    <xf numFmtId="0" fontId="63" fillId="0" borderId="0" xfId="0" applyFont="1" applyBorder="1"/>
    <xf numFmtId="0" fontId="63" fillId="0" borderId="0" xfId="0" applyNumberFormat="1" applyFont="1" applyBorder="1"/>
    <xf numFmtId="167" fontId="63" fillId="0" borderId="27" xfId="1" applyNumberFormat="1" applyFont="1" applyBorder="1" applyAlignment="1"/>
    <xf numFmtId="0" fontId="63" fillId="0" borderId="0" xfId="0" applyFont="1" applyBorder="1" applyAlignment="1"/>
    <xf numFmtId="0" fontId="63" fillId="0" borderId="27" xfId="0" applyFont="1" applyBorder="1" applyAlignment="1"/>
    <xf numFmtId="0" fontId="53" fillId="0" borderId="37" xfId="0" applyFont="1" applyBorder="1"/>
    <xf numFmtId="0" fontId="53" fillId="0" borderId="21" xfId="0" applyFont="1" applyBorder="1"/>
    <xf numFmtId="0" fontId="63" fillId="0" borderId="20" xfId="0" applyFont="1" applyBorder="1"/>
    <xf numFmtId="0" fontId="63" fillId="0" borderId="24" xfId="0" applyFont="1" applyBorder="1"/>
    <xf numFmtId="0" fontId="63" fillId="0" borderId="0" xfId="0" applyFont="1" applyBorder="1" applyAlignment="1">
      <alignment horizontal="left"/>
    </xf>
    <xf numFmtId="167" fontId="63" fillId="0" borderId="8" xfId="1" applyNumberFormat="1" applyFont="1" applyBorder="1" applyAlignment="1"/>
    <xf numFmtId="0" fontId="63" fillId="0" borderId="27" xfId="0" applyFont="1" applyBorder="1"/>
    <xf numFmtId="0" fontId="63" fillId="0" borderId="26" xfId="0" applyFont="1" applyBorder="1"/>
    <xf numFmtId="0" fontId="63" fillId="0" borderId="0" xfId="0" quotePrefix="1" applyFont="1" applyBorder="1"/>
    <xf numFmtId="0" fontId="63" fillId="0" borderId="37" xfId="0" applyFont="1" applyBorder="1"/>
    <xf numFmtId="0" fontId="63" fillId="0" borderId="21" xfId="0" applyFont="1" applyBorder="1"/>
    <xf numFmtId="0" fontId="63" fillId="0" borderId="38" xfId="0" applyFont="1" applyBorder="1"/>
    <xf numFmtId="0" fontId="68" fillId="0" borderId="0" xfId="0" applyFont="1"/>
    <xf numFmtId="0" fontId="69" fillId="0" borderId="0" xfId="0" applyFont="1" applyBorder="1"/>
    <xf numFmtId="0" fontId="0" fillId="0" borderId="0" xfId="0" applyBorder="1"/>
    <xf numFmtId="0" fontId="6" fillId="0" borderId="0" xfId="0" applyFont="1" applyBorder="1" applyAlignment="1">
      <alignment horizontal="justify" vertical="center"/>
    </xf>
    <xf numFmtId="0" fontId="19" fillId="0" borderId="27" xfId="0" applyFont="1" applyBorder="1"/>
    <xf numFmtId="0" fontId="19" fillId="0" borderId="26" xfId="0" applyFont="1" applyBorder="1"/>
    <xf numFmtId="0" fontId="19" fillId="0" borderId="38" xfId="0" applyFont="1" applyBorder="1"/>
    <xf numFmtId="0" fontId="19" fillId="0" borderId="24" xfId="0" applyFont="1" applyBorder="1"/>
    <xf numFmtId="0" fontId="19" fillId="0" borderId="21" xfId="0" applyFont="1" applyBorder="1"/>
    <xf numFmtId="0" fontId="19" fillId="0" borderId="21" xfId="0" applyFont="1" applyBorder="1" applyAlignment="1">
      <alignment horizontal="center"/>
    </xf>
    <xf numFmtId="0" fontId="71" fillId="0" borderId="23" xfId="0" applyFont="1" applyBorder="1" applyAlignment="1">
      <alignment horizontal="center"/>
    </xf>
    <xf numFmtId="0" fontId="71" fillId="0" borderId="20" xfId="0" applyFont="1" applyBorder="1" applyAlignment="1">
      <alignment horizontal="center"/>
    </xf>
    <xf numFmtId="167" fontId="71" fillId="0" borderId="0" xfId="1" applyNumberFormat="1" applyFont="1" applyBorder="1"/>
    <xf numFmtId="167" fontId="71" fillId="0" borderId="43" xfId="1" applyNumberFormat="1" applyFont="1" applyBorder="1"/>
    <xf numFmtId="0" fontId="72" fillId="0" borderId="26" xfId="0" applyFont="1" applyBorder="1"/>
    <xf numFmtId="0" fontId="72" fillId="0" borderId="0" xfId="0" applyFont="1" applyBorder="1"/>
    <xf numFmtId="167" fontId="72" fillId="0" borderId="0" xfId="1" applyNumberFormat="1" applyFont="1" applyBorder="1"/>
    <xf numFmtId="0" fontId="72" fillId="0" borderId="37" xfId="0" applyFont="1" applyBorder="1"/>
    <xf numFmtId="0" fontId="72" fillId="0" borderId="21" xfId="0" applyFont="1" applyBorder="1"/>
    <xf numFmtId="167" fontId="72" fillId="0" borderId="21" xfId="1" applyNumberFormat="1" applyFont="1" applyBorder="1"/>
    <xf numFmtId="0" fontId="72" fillId="0" borderId="27" xfId="0" applyFont="1" applyBorder="1"/>
    <xf numFmtId="167" fontId="72" fillId="0" borderId="0" xfId="1" applyNumberFormat="1" applyFont="1" applyBorder="1" applyAlignment="1">
      <alignment vertical="center"/>
    </xf>
    <xf numFmtId="167" fontId="72" fillId="0" borderId="26" xfId="1" applyNumberFormat="1" applyFont="1" applyBorder="1"/>
    <xf numFmtId="167" fontId="72" fillId="0" borderId="0" xfId="1" applyNumberFormat="1" applyFont="1" applyBorder="1" applyAlignment="1">
      <alignment horizontal="center" vertical="center"/>
    </xf>
    <xf numFmtId="167" fontId="72" fillId="0" borderId="27" xfId="1" applyNumberFormat="1" applyFont="1" applyBorder="1"/>
    <xf numFmtId="167" fontId="72" fillId="0" borderId="0" xfId="1" applyNumberFormat="1" applyFont="1" applyBorder="1" applyAlignment="1"/>
    <xf numFmtId="167" fontId="71" fillId="0" borderId="41" xfId="1" applyNumberFormat="1" applyFont="1" applyBorder="1"/>
    <xf numFmtId="167" fontId="71" fillId="0" borderId="42" xfId="1" applyNumberFormat="1" applyFont="1" applyBorder="1"/>
    <xf numFmtId="167" fontId="71" fillId="0" borderId="0" xfId="1" applyNumberFormat="1" applyFont="1" applyBorder="1" applyAlignment="1">
      <alignment horizontal="center"/>
    </xf>
    <xf numFmtId="0" fontId="23" fillId="0" borderId="23" xfId="0" applyFont="1" applyBorder="1"/>
    <xf numFmtId="0" fontId="23" fillId="0" borderId="20" xfId="0" applyFont="1" applyBorder="1"/>
    <xf numFmtId="167" fontId="23" fillId="0" borderId="20" xfId="1" applyNumberFormat="1" applyFont="1" applyBorder="1"/>
    <xf numFmtId="0" fontId="19" fillId="0" borderId="20" xfId="0" applyFont="1" applyBorder="1"/>
    <xf numFmtId="0" fontId="19" fillId="0" borderId="20" xfId="0" applyFont="1" applyBorder="1" applyAlignment="1">
      <alignment horizontal="center"/>
    </xf>
    <xf numFmtId="0" fontId="72" fillId="0" borderId="23" xfId="0" applyFont="1" applyBorder="1" applyAlignment="1">
      <alignment horizontal="center"/>
    </xf>
    <xf numFmtId="0" fontId="72" fillId="0" borderId="20" xfId="0" applyFont="1" applyBorder="1" applyAlignment="1">
      <alignment horizontal="center"/>
    </xf>
    <xf numFmtId="0" fontId="72" fillId="0" borderId="24" xfId="0" applyFont="1" applyBorder="1" applyAlignment="1">
      <alignment horizontal="center"/>
    </xf>
    <xf numFmtId="0" fontId="73" fillId="0" borderId="26" xfId="0" applyFont="1" applyBorder="1"/>
    <xf numFmtId="167" fontId="72" fillId="0" borderId="38" xfId="1" applyNumberFormat="1" applyFont="1" applyBorder="1"/>
    <xf numFmtId="164" fontId="7" fillId="0" borderId="16" xfId="0" applyNumberFormat="1" applyFont="1" applyBorder="1" applyAlignment="1"/>
    <xf numFmtId="0" fontId="74" fillId="0" borderId="0" xfId="0" applyFont="1"/>
    <xf numFmtId="167" fontId="71" fillId="0" borderId="26" xfId="1" applyNumberFormat="1" applyFont="1" applyBorder="1"/>
    <xf numFmtId="0" fontId="19" fillId="0" borderId="37" xfId="0" applyFont="1" applyBorder="1"/>
    <xf numFmtId="0" fontId="72" fillId="0" borderId="0" xfId="0" applyFont="1" applyBorder="1" applyAlignment="1"/>
    <xf numFmtId="167" fontId="72" fillId="0" borderId="1" xfId="1" applyNumberFormat="1" applyFont="1" applyBorder="1" applyAlignment="1"/>
    <xf numFmtId="167" fontId="71" fillId="0" borderId="0" xfId="1" applyNumberFormat="1" applyFont="1" applyBorder="1" applyAlignment="1"/>
    <xf numFmtId="38" fontId="72" fillId="0" borderId="0" xfId="0" applyNumberFormat="1" applyFont="1" applyBorder="1"/>
    <xf numFmtId="167" fontId="72" fillId="0" borderId="0" xfId="1" applyNumberFormat="1" applyFont="1" applyBorder="1" applyAlignment="1">
      <alignment horizontal="center"/>
    </xf>
    <xf numFmtId="167" fontId="72" fillId="0" borderId="0" xfId="1" applyNumberFormat="1" applyFont="1" applyBorder="1" applyAlignment="1">
      <alignment horizontal="left"/>
    </xf>
    <xf numFmtId="0" fontId="5" fillId="0" borderId="7" xfId="0" applyNumberFormat="1" applyFont="1" applyBorder="1"/>
    <xf numFmtId="0" fontId="4" fillId="0" borderId="0" xfId="0" applyFont="1" applyBorder="1"/>
    <xf numFmtId="0" fontId="51" fillId="0" borderId="0" xfId="0" applyFont="1" applyBorder="1"/>
    <xf numFmtId="167" fontId="4" fillId="0" borderId="0" xfId="1" applyNumberFormat="1" applyFont="1" applyBorder="1" applyAlignment="1">
      <alignment vertical="center"/>
    </xf>
    <xf numFmtId="167" fontId="3" fillId="0" borderId="0" xfId="1" applyNumberFormat="1" applyFont="1" applyBorder="1"/>
    <xf numFmtId="0" fontId="36" fillId="0" borderId="0" xfId="0" applyFont="1" applyBorder="1"/>
    <xf numFmtId="167" fontId="36" fillId="0" borderId="0" xfId="1" applyNumberFormat="1" applyFont="1" applyBorder="1"/>
    <xf numFmtId="0" fontId="52" fillId="0" borderId="0" xfId="0" applyFont="1" applyBorder="1"/>
    <xf numFmtId="167" fontId="52" fillId="0" borderId="0" xfId="1" applyNumberFormat="1" applyFont="1" applyBorder="1"/>
    <xf numFmtId="0" fontId="6" fillId="0" borderId="0" xfId="0" applyFont="1" applyBorder="1" applyAlignment="1">
      <alignment horizontal="justify" vertical="center"/>
    </xf>
    <xf numFmtId="0" fontId="6" fillId="0" borderId="0" xfId="0" applyFont="1" applyBorder="1" applyAlignment="1">
      <alignment horizontal="left"/>
    </xf>
    <xf numFmtId="0" fontId="6" fillId="0" borderId="0" xfId="0" applyFont="1" applyBorder="1" applyAlignment="1">
      <alignment horizontal="left"/>
    </xf>
    <xf numFmtId="0" fontId="14" fillId="0" borderId="23" xfId="0" applyFont="1" applyBorder="1" applyAlignment="1"/>
    <xf numFmtId="0" fontId="27" fillId="0" borderId="24" xfId="0" applyFont="1" applyBorder="1"/>
    <xf numFmtId="0" fontId="14" fillId="0" borderId="26" xfId="0" applyFont="1" applyBorder="1" applyAlignment="1"/>
    <xf numFmtId="0" fontId="27" fillId="0" borderId="27" xfId="0" applyFont="1" applyBorder="1"/>
    <xf numFmtId="0" fontId="14" fillId="0" borderId="26" xfId="0" applyFont="1" applyBorder="1"/>
    <xf numFmtId="0" fontId="5" fillId="0" borderId="0" xfId="0" applyFont="1" applyBorder="1" applyAlignment="1"/>
    <xf numFmtId="0" fontId="13" fillId="0" borderId="26" xfId="0" applyFont="1" applyBorder="1"/>
    <xf numFmtId="0" fontId="28" fillId="0" borderId="27" xfId="0" applyFont="1" applyBorder="1"/>
    <xf numFmtId="0" fontId="14" fillId="0" borderId="26" xfId="0" applyFont="1" applyFill="1" applyBorder="1" applyAlignment="1"/>
    <xf numFmtId="0" fontId="7" fillId="0" borderId="0" xfId="0" applyFont="1" applyBorder="1" applyAlignment="1"/>
    <xf numFmtId="0" fontId="27" fillId="0" borderId="26" xfId="0" applyFont="1" applyBorder="1"/>
    <xf numFmtId="0" fontId="5" fillId="0" borderId="0" xfId="0" applyFont="1" applyBorder="1"/>
    <xf numFmtId="0" fontId="13" fillId="0" borderId="26" xfId="0" applyFont="1" applyBorder="1" applyAlignment="1"/>
    <xf numFmtId="0" fontId="6" fillId="0" borderId="0" xfId="0" applyFont="1" applyBorder="1" applyAlignment="1">
      <alignment horizontal="right"/>
    </xf>
    <xf numFmtId="0" fontId="8" fillId="0" borderId="0" xfId="0" applyFont="1" applyBorder="1" applyAlignment="1">
      <alignment horizontal="right"/>
    </xf>
    <xf numFmtId="167" fontId="8" fillId="0" borderId="0" xfId="1" applyNumberFormat="1" applyFont="1" applyBorder="1" applyAlignment="1"/>
    <xf numFmtId="0" fontId="14" fillId="0" borderId="26" xfId="0" applyFont="1" applyBorder="1" applyAlignment="1">
      <alignment horizontal="center"/>
    </xf>
    <xf numFmtId="0" fontId="15" fillId="0" borderId="37" xfId="0" applyFont="1" applyBorder="1"/>
    <xf numFmtId="0" fontId="15" fillId="0" borderId="21" xfId="0" applyFont="1" applyBorder="1"/>
    <xf numFmtId="0" fontId="15" fillId="0" borderId="21" xfId="0" applyFont="1" applyBorder="1" applyAlignment="1"/>
    <xf numFmtId="0" fontId="27" fillId="0" borderId="21" xfId="0" applyFont="1" applyBorder="1"/>
    <xf numFmtId="0" fontId="27" fillId="0" borderId="38" xfId="0" applyFont="1" applyBorder="1"/>
    <xf numFmtId="0" fontId="58" fillId="0" borderId="35" xfId="0" applyFont="1" applyBorder="1" applyAlignment="1">
      <alignment horizontal="left" readingOrder="1"/>
    </xf>
    <xf numFmtId="0" fontId="53" fillId="0" borderId="1" xfId="0" applyFont="1" applyBorder="1"/>
    <xf numFmtId="0" fontId="59" fillId="0" borderId="1" xfId="0" applyFont="1" applyBorder="1"/>
    <xf numFmtId="0" fontId="53" fillId="0" borderId="24" xfId="0" applyFont="1" applyBorder="1"/>
    <xf numFmtId="0" fontId="53" fillId="0" borderId="38" xfId="0" applyFont="1" applyBorder="1"/>
    <xf numFmtId="0" fontId="58" fillId="0" borderId="0" xfId="0" applyFont="1" applyFill="1" applyBorder="1" applyAlignment="1">
      <alignment wrapText="1" readingOrder="1"/>
    </xf>
    <xf numFmtId="0" fontId="53" fillId="0" borderId="0" xfId="0" quotePrefix="1" applyFont="1" applyBorder="1"/>
    <xf numFmtId="0" fontId="54" fillId="0" borderId="23" xfId="0" applyFont="1" applyBorder="1" applyAlignment="1">
      <alignment horizontal="left" vertical="center"/>
    </xf>
    <xf numFmtId="0" fontId="53" fillId="0" borderId="20" xfId="0" applyFont="1" applyBorder="1" applyAlignment="1">
      <alignment horizontal="left" vertical="center"/>
    </xf>
    <xf numFmtId="0" fontId="64" fillId="4" borderId="4" xfId="0" applyFont="1" applyFill="1" applyBorder="1" applyAlignment="1">
      <alignment horizontal="left" vertical="center" wrapText="1" readingOrder="1"/>
    </xf>
    <xf numFmtId="0" fontId="66" fillId="4" borderId="4" xfId="0" applyFont="1" applyFill="1" applyBorder="1" applyAlignment="1">
      <alignment horizontal="left" vertical="center" wrapText="1"/>
    </xf>
    <xf numFmtId="0" fontId="65" fillId="0" borderId="23" xfId="0" applyFont="1" applyBorder="1"/>
    <xf numFmtId="0" fontId="19" fillId="0" borderId="23" xfId="0" applyFont="1" applyBorder="1"/>
    <xf numFmtId="14" fontId="19" fillId="0" borderId="0" xfId="0" applyNumberFormat="1" applyFont="1" applyBorder="1"/>
    <xf numFmtId="0" fontId="19" fillId="0" borderId="26" xfId="0" applyFont="1" applyBorder="1" applyAlignment="1">
      <alignment vertical="center"/>
    </xf>
    <xf numFmtId="164" fontId="19" fillId="0" borderId="27" xfId="0" applyNumberFormat="1" applyFont="1" applyBorder="1" applyAlignment="1">
      <alignment vertical="center"/>
    </xf>
    <xf numFmtId="0" fontId="19" fillId="0" borderId="27" xfId="0" applyFont="1" applyBorder="1" applyAlignment="1">
      <alignment vertical="center"/>
    </xf>
    <xf numFmtId="0" fontId="8" fillId="0" borderId="26" xfId="0" applyFont="1" applyBorder="1" applyAlignment="1"/>
    <xf numFmtId="0" fontId="20" fillId="0" borderId="27" xfId="0" applyFont="1" applyBorder="1"/>
    <xf numFmtId="0" fontId="6" fillId="0" borderId="26" xfId="0" applyFont="1" applyBorder="1" applyAlignment="1"/>
    <xf numFmtId="0" fontId="6" fillId="0" borderId="26" xfId="0" applyFont="1" applyBorder="1"/>
    <xf numFmtId="0" fontId="6" fillId="0" borderId="26" xfId="0" applyFont="1" applyBorder="1" applyAlignment="1">
      <alignment horizontal="center"/>
    </xf>
    <xf numFmtId="167" fontId="6" fillId="0" borderId="0" xfId="1" applyNumberFormat="1" applyFont="1" applyBorder="1" applyAlignment="1">
      <alignment horizontal="center"/>
    </xf>
    <xf numFmtId="0" fontId="43" fillId="0" borderId="0" xfId="0" applyFont="1" applyBorder="1"/>
    <xf numFmtId="0" fontId="43" fillId="0" borderId="0" xfId="0" applyFont="1" applyBorder="1" applyAlignment="1">
      <alignment horizontal="right"/>
    </xf>
    <xf numFmtId="0" fontId="37" fillId="0" borderId="0" xfId="0" applyFont="1" applyBorder="1" applyAlignment="1"/>
    <xf numFmtId="0" fontId="11" fillId="0" borderId="0" xfId="0" applyFont="1" applyBorder="1" applyAlignment="1">
      <alignment horizontal="right"/>
    </xf>
    <xf numFmtId="169" fontId="11" fillId="0" borderId="0" xfId="0" applyNumberFormat="1" applyFont="1" applyBorder="1" applyAlignment="1"/>
    <xf numFmtId="38" fontId="11" fillId="0" borderId="0" xfId="0" applyNumberFormat="1" applyFont="1" applyBorder="1"/>
    <xf numFmtId="0" fontId="6" fillId="0" borderId="10" xfId="0" applyNumberFormat="1" applyFont="1" applyBorder="1" applyAlignment="1"/>
    <xf numFmtId="0" fontId="6" fillId="0" borderId="0" xfId="0" applyNumberFormat="1" applyFont="1" applyBorder="1" applyAlignment="1"/>
    <xf numFmtId="0" fontId="19" fillId="0" borderId="20" xfId="0" applyNumberFormat="1" applyFont="1" applyBorder="1"/>
    <xf numFmtId="0" fontId="8" fillId="0" borderId="27" xfId="0" applyFont="1" applyBorder="1" applyAlignment="1"/>
    <xf numFmtId="0" fontId="6" fillId="0" borderId="27" xfId="0" applyFont="1" applyBorder="1"/>
    <xf numFmtId="0" fontId="6" fillId="0" borderId="27" xfId="0" applyFont="1" applyBorder="1" applyAlignment="1">
      <alignment horizontal="center"/>
    </xf>
    <xf numFmtId="167" fontId="6" fillId="0" borderId="27" xfId="1" applyNumberFormat="1" applyFont="1" applyBorder="1"/>
    <xf numFmtId="165" fontId="6" fillId="0" borderId="27" xfId="1" applyFont="1" applyBorder="1"/>
    <xf numFmtId="0" fontId="8" fillId="0" borderId="27" xfId="0" applyFont="1" applyBorder="1"/>
    <xf numFmtId="0" fontId="6" fillId="0" borderId="27" xfId="0" applyFont="1" applyBorder="1" applyAlignment="1"/>
    <xf numFmtId="0" fontId="19" fillId="0" borderId="21" xfId="0" applyNumberFormat="1" applyFont="1" applyBorder="1"/>
    <xf numFmtId="0" fontId="72" fillId="0" borderId="0" xfId="0" applyFont="1"/>
    <xf numFmtId="164" fontId="19" fillId="0" borderId="0" xfId="0" applyNumberFormat="1" applyFont="1" applyBorder="1" applyAlignment="1">
      <alignment horizontal="right"/>
    </xf>
    <xf numFmtId="0" fontId="7" fillId="0" borderId="0" xfId="0" applyFont="1" applyBorder="1" applyAlignment="1">
      <alignment horizontal="center"/>
    </xf>
    <xf numFmtId="0" fontId="8" fillId="0" borderId="0" xfId="0" applyFont="1" applyBorder="1" applyAlignment="1">
      <alignment horizontal="center"/>
    </xf>
    <xf numFmtId="0" fontId="21" fillId="0" borderId="0" xfId="0" applyFont="1" applyBorder="1" applyAlignment="1">
      <alignment horizontal="center"/>
    </xf>
    <xf numFmtId="167" fontId="72" fillId="0" borderId="23" xfId="1" applyNumberFormat="1" applyFont="1" applyBorder="1"/>
    <xf numFmtId="167" fontId="72" fillId="0" borderId="20" xfId="1" applyNumberFormat="1" applyFont="1" applyBorder="1"/>
    <xf numFmtId="167" fontId="71" fillId="0" borderId="20" xfId="1" applyNumberFormat="1" applyFont="1" applyBorder="1"/>
    <xf numFmtId="167" fontId="72" fillId="0" borderId="24" xfId="1" applyNumberFormat="1" applyFont="1" applyBorder="1"/>
    <xf numFmtId="167" fontId="72" fillId="0" borderId="37" xfId="1" applyNumberFormat="1" applyFont="1" applyBorder="1"/>
    <xf numFmtId="164" fontId="7" fillId="0" borderId="2" xfId="2" applyFont="1" applyBorder="1"/>
    <xf numFmtId="0" fontId="23" fillId="0" borderId="26" xfId="0" applyFont="1" applyBorder="1"/>
    <xf numFmtId="0" fontId="23" fillId="0" borderId="27" xfId="0" applyFont="1" applyBorder="1"/>
    <xf numFmtId="0" fontId="0" fillId="0" borderId="20" xfId="0" applyBorder="1"/>
    <xf numFmtId="167" fontId="12" fillId="0" borderId="0" xfId="1" applyNumberFormat="1" applyFont="1" applyBorder="1" applyAlignment="1"/>
    <xf numFmtId="0" fontId="12" fillId="0" borderId="0" xfId="0" applyFont="1" applyBorder="1"/>
    <xf numFmtId="10" fontId="11" fillId="0" borderId="0" xfId="0" applyNumberFormat="1" applyFont="1" applyBorder="1"/>
    <xf numFmtId="0" fontId="8" fillId="0" borderId="21" xfId="0" applyFont="1" applyBorder="1" applyAlignment="1">
      <alignment horizontal="center"/>
    </xf>
    <xf numFmtId="167" fontId="72" fillId="0" borderId="0" xfId="1" applyNumberFormat="1" applyFont="1" applyBorder="1" applyAlignment="1">
      <alignment horizontal="center"/>
    </xf>
    <xf numFmtId="0" fontId="42" fillId="0" borderId="1" xfId="0" applyFont="1" applyBorder="1"/>
    <xf numFmtId="0" fontId="42" fillId="0" borderId="9" xfId="0" applyNumberFormat="1" applyFont="1" applyBorder="1"/>
    <xf numFmtId="167" fontId="6" fillId="0" borderId="12" xfId="1" applyNumberFormat="1" applyFont="1" applyBorder="1"/>
    <xf numFmtId="0" fontId="5" fillId="0" borderId="1" xfId="0" applyNumberFormat="1" applyFont="1" applyBorder="1" applyAlignment="1"/>
    <xf numFmtId="167" fontId="19" fillId="0" borderId="12" xfId="1" applyNumberFormat="1" applyFont="1" applyBorder="1" applyAlignment="1"/>
    <xf numFmtId="164" fontId="0" fillId="0" borderId="0" xfId="2" applyFont="1" applyBorder="1"/>
    <xf numFmtId="0" fontId="20" fillId="0" borderId="4" xfId="0" applyFont="1" applyBorder="1"/>
    <xf numFmtId="0" fontId="19" fillId="0" borderId="4" xfId="0" applyFont="1" applyBorder="1"/>
    <xf numFmtId="0" fontId="72" fillId="0" borderId="4" xfId="0" applyFont="1" applyBorder="1" applyAlignment="1"/>
    <xf numFmtId="0" fontId="77" fillId="0" borderId="4" xfId="0" applyFont="1" applyBorder="1"/>
    <xf numFmtId="0" fontId="77" fillId="0" borderId="4" xfId="0" applyFont="1" applyBorder="1" applyAlignment="1"/>
    <xf numFmtId="167" fontId="78" fillId="0" borderId="4" xfId="1" applyNumberFormat="1" applyFont="1" applyBorder="1" applyAlignment="1">
      <alignment horizontal="right"/>
    </xf>
    <xf numFmtId="10" fontId="78" fillId="0" borderId="4" xfId="0" applyNumberFormat="1" applyFont="1" applyBorder="1"/>
    <xf numFmtId="167" fontId="78" fillId="0" borderId="4" xfId="0" applyNumberFormat="1" applyFont="1" applyBorder="1" applyAlignment="1">
      <alignment horizontal="right"/>
    </xf>
    <xf numFmtId="0" fontId="78" fillId="0" borderId="4" xfId="0" applyFont="1" applyBorder="1" applyAlignment="1"/>
    <xf numFmtId="0" fontId="78" fillId="0" borderId="4" xfId="0" applyFont="1" applyBorder="1"/>
    <xf numFmtId="167" fontId="78" fillId="0" borderId="4" xfId="0" applyNumberFormat="1" applyFont="1" applyBorder="1"/>
    <xf numFmtId="0" fontId="29" fillId="0" borderId="4" xfId="0" applyFont="1" applyBorder="1"/>
    <xf numFmtId="167" fontId="78" fillId="0" borderId="4" xfId="1" applyNumberFormat="1" applyFont="1" applyBorder="1" applyAlignment="1"/>
    <xf numFmtId="0" fontId="78" fillId="0" borderId="4" xfId="0" applyFont="1" applyBorder="1" applyAlignment="1">
      <alignment horizontal="right"/>
    </xf>
    <xf numFmtId="167" fontId="71" fillId="0" borderId="4" xfId="1" applyNumberFormat="1" applyFont="1" applyBorder="1" applyAlignment="1">
      <alignment horizontal="right"/>
    </xf>
    <xf numFmtId="169" fontId="78" fillId="0" borderId="4" xfId="0" applyNumberFormat="1" applyFont="1" applyBorder="1" applyAlignment="1"/>
    <xf numFmtId="0" fontId="71" fillId="0" borderId="4" xfId="0" applyFont="1" applyBorder="1" applyAlignment="1">
      <alignment horizontal="left"/>
    </xf>
    <xf numFmtId="0" fontId="71" fillId="0" borderId="4" xfId="0" applyFont="1" applyBorder="1" applyAlignment="1"/>
    <xf numFmtId="38" fontId="78" fillId="0" borderId="4" xfId="0" applyNumberFormat="1" applyFont="1" applyBorder="1"/>
    <xf numFmtId="164" fontId="5" fillId="0" borderId="1" xfId="2" applyFont="1" applyBorder="1" applyAlignment="1"/>
    <xf numFmtId="0" fontId="8" fillId="0" borderId="0" xfId="0" applyFont="1" applyBorder="1" applyAlignment="1">
      <alignment horizontal="center"/>
    </xf>
    <xf numFmtId="0" fontId="8" fillId="0" borderId="0" xfId="0" applyFont="1" applyBorder="1" applyAlignment="1">
      <alignment horizontal="center"/>
    </xf>
    <xf numFmtId="0" fontId="19" fillId="0" borderId="0" xfId="0" applyFont="1" applyBorder="1" applyAlignment="1">
      <alignment horizontal="center"/>
    </xf>
    <xf numFmtId="17" fontId="19" fillId="0" borderId="20" xfId="0" applyNumberFormat="1" applyFont="1" applyBorder="1" applyAlignment="1"/>
    <xf numFmtId="17" fontId="19" fillId="0" borderId="20" xfId="0" applyNumberFormat="1" applyFont="1" applyBorder="1" applyAlignment="1">
      <alignment vertical="top"/>
    </xf>
    <xf numFmtId="17" fontId="19" fillId="0" borderId="21" xfId="0" applyNumberFormat="1" applyFont="1" applyBorder="1" applyAlignment="1">
      <alignment vertical="top"/>
    </xf>
    <xf numFmtId="17" fontId="19" fillId="0" borderId="22" xfId="0" applyNumberFormat="1" applyFont="1" applyBorder="1" applyAlignment="1">
      <alignment horizontal="center"/>
    </xf>
    <xf numFmtId="17" fontId="19" fillId="0" borderId="25" xfId="0" applyNumberFormat="1" applyFont="1" applyBorder="1" applyAlignment="1">
      <alignment horizontal="center"/>
    </xf>
    <xf numFmtId="0" fontId="19" fillId="0" borderId="25" xfId="0" applyFont="1" applyBorder="1"/>
    <xf numFmtId="17" fontId="19" fillId="0" borderId="44" xfId="0" applyNumberFormat="1" applyFont="1" applyBorder="1" applyAlignment="1">
      <alignment horizontal="center"/>
    </xf>
    <xf numFmtId="17" fontId="19" fillId="0" borderId="27" xfId="0" applyNumberFormat="1" applyFont="1" applyBorder="1" applyAlignment="1">
      <alignment vertical="top"/>
    </xf>
    <xf numFmtId="17" fontId="20" fillId="0" borderId="38" xfId="0" applyNumberFormat="1" applyFont="1" applyBorder="1" applyAlignment="1">
      <alignment horizontal="center" vertical="top"/>
    </xf>
    <xf numFmtId="17" fontId="19" fillId="0" borderId="23" xfId="0" applyNumberFormat="1" applyFont="1" applyBorder="1" applyAlignment="1"/>
    <xf numFmtId="17" fontId="19" fillId="0" borderId="24" xfId="0" applyNumberFormat="1" applyFont="1" applyBorder="1" applyAlignment="1">
      <alignment vertical="top"/>
    </xf>
    <xf numFmtId="17" fontId="19" fillId="0" borderId="26" xfId="0" applyNumberFormat="1" applyFont="1" applyBorder="1" applyAlignment="1">
      <alignment vertical="top"/>
    </xf>
    <xf numFmtId="167" fontId="19" fillId="0" borderId="27" xfId="0" applyNumberFormat="1" applyFont="1" applyBorder="1" applyAlignment="1">
      <alignment horizontal="left"/>
    </xf>
    <xf numFmtId="167" fontId="19" fillId="0" borderId="27" xfId="0" applyNumberFormat="1" applyFont="1" applyBorder="1"/>
    <xf numFmtId="17" fontId="19" fillId="0" borderId="37" xfId="0" applyNumberFormat="1" applyFont="1" applyBorder="1" applyAlignment="1">
      <alignment vertical="top"/>
    </xf>
    <xf numFmtId="17" fontId="19" fillId="0" borderId="38" xfId="0" applyNumberFormat="1" applyFont="1" applyBorder="1" applyAlignment="1">
      <alignment vertical="top"/>
    </xf>
    <xf numFmtId="17" fontId="20" fillId="0" borderId="33" xfId="0" applyNumberFormat="1" applyFont="1" applyBorder="1" applyAlignment="1">
      <alignment horizontal="center" vertical="center"/>
    </xf>
    <xf numFmtId="17" fontId="20" fillId="0" borderId="33" xfId="0" applyNumberFormat="1" applyFont="1" applyBorder="1" applyAlignment="1">
      <alignment horizontal="center" vertical="top"/>
    </xf>
    <xf numFmtId="0" fontId="19" fillId="0" borderId="22" xfId="0" applyFont="1" applyBorder="1"/>
    <xf numFmtId="0" fontId="20" fillId="0" borderId="25" xfId="0" applyFont="1" applyBorder="1" applyAlignment="1">
      <alignment horizontal="center"/>
    </xf>
    <xf numFmtId="0" fontId="20" fillId="0" borderId="44" xfId="0" applyFont="1" applyBorder="1" applyAlignment="1">
      <alignment horizontal="center"/>
    </xf>
    <xf numFmtId="0" fontId="20" fillId="0" borderId="33" xfId="0" applyFont="1" applyBorder="1" applyAlignment="1">
      <alignment horizontal="center"/>
    </xf>
    <xf numFmtId="0" fontId="7" fillId="0" borderId="0" xfId="0" applyFont="1" applyBorder="1" applyAlignment="1">
      <alignment horizontal="left"/>
    </xf>
    <xf numFmtId="0" fontId="8" fillId="0" borderId="23" xfId="0" applyFont="1" applyBorder="1" applyAlignment="1">
      <alignment horizontal="center"/>
    </xf>
    <xf numFmtId="0" fontId="8" fillId="0" borderId="20" xfId="0" applyFont="1" applyBorder="1" applyAlignment="1">
      <alignment horizontal="center"/>
    </xf>
    <xf numFmtId="0" fontId="20" fillId="0" borderId="20" xfId="0" applyFont="1" applyBorder="1" applyAlignment="1">
      <alignment horizontal="center"/>
    </xf>
    <xf numFmtId="0" fontId="8" fillId="0" borderId="26" xfId="0" applyFont="1" applyBorder="1" applyAlignment="1">
      <alignment horizontal="center"/>
    </xf>
    <xf numFmtId="0" fontId="7" fillId="0" borderId="26" xfId="0" applyFont="1" applyBorder="1" applyAlignment="1">
      <alignment horizontal="center"/>
    </xf>
    <xf numFmtId="0" fontId="8" fillId="0" borderId="37" xfId="0" applyFont="1" applyBorder="1" applyAlignment="1">
      <alignment horizontal="center"/>
    </xf>
    <xf numFmtId="0" fontId="8" fillId="0" borderId="25" xfId="0" applyFont="1" applyBorder="1" applyAlignment="1">
      <alignment horizontal="center"/>
    </xf>
    <xf numFmtId="0" fontId="7" fillId="0" borderId="44" xfId="0" applyFont="1" applyBorder="1" applyAlignment="1">
      <alignment horizontal="center"/>
    </xf>
    <xf numFmtId="0" fontId="7" fillId="0" borderId="33" xfId="0" applyFont="1" applyBorder="1" applyAlignment="1">
      <alignment horizontal="center"/>
    </xf>
    <xf numFmtId="0" fontId="20" fillId="0" borderId="21" xfId="0" applyFont="1" applyBorder="1" applyAlignment="1">
      <alignment horizontal="left"/>
    </xf>
    <xf numFmtId="0" fontId="20" fillId="0" borderId="21" xfId="0" applyFont="1" applyBorder="1" applyAlignment="1"/>
    <xf numFmtId="17" fontId="22" fillId="0" borderId="25" xfId="0" applyNumberFormat="1" applyFont="1" applyBorder="1" applyAlignment="1">
      <alignment vertical="top"/>
    </xf>
    <xf numFmtId="0" fontId="19" fillId="0" borderId="25" xfId="0" applyFont="1" applyBorder="1" applyAlignment="1">
      <alignment horizontal="center"/>
    </xf>
    <xf numFmtId="167" fontId="19" fillId="0" borderId="44" xfId="1" applyNumberFormat="1" applyFont="1" applyBorder="1" applyAlignment="1">
      <alignment horizontal="center"/>
    </xf>
    <xf numFmtId="17" fontId="19" fillId="0" borderId="25" xfId="0" applyNumberFormat="1" applyFont="1" applyBorder="1" applyAlignment="1">
      <alignment vertical="top"/>
    </xf>
    <xf numFmtId="167" fontId="19" fillId="0" borderId="25" xfId="1" applyNumberFormat="1" applyFont="1" applyBorder="1" applyAlignment="1">
      <alignment horizontal="right"/>
    </xf>
    <xf numFmtId="0" fontId="20" fillId="0" borderId="33" xfId="0" applyFont="1" applyBorder="1"/>
    <xf numFmtId="9" fontId="11" fillId="0" borderId="33" xfId="0" applyNumberFormat="1" applyFont="1" applyBorder="1" applyAlignment="1">
      <alignment horizontal="center"/>
    </xf>
    <xf numFmtId="40" fontId="11" fillId="0" borderId="44" xfId="0" applyNumberFormat="1" applyFont="1" applyBorder="1" applyAlignment="1">
      <alignment horizontal="center"/>
    </xf>
    <xf numFmtId="0" fontId="20" fillId="0" borderId="23" xfId="0" applyFont="1" applyBorder="1"/>
    <xf numFmtId="0" fontId="20" fillId="0" borderId="26" xfId="0" applyFont="1" applyBorder="1" applyAlignment="1"/>
    <xf numFmtId="0" fontId="19" fillId="0" borderId="26" xfId="0" applyFont="1" applyBorder="1" applyAlignment="1"/>
    <xf numFmtId="0" fontId="19" fillId="0" borderId="37" xfId="0" applyFont="1" applyBorder="1" applyAlignment="1"/>
    <xf numFmtId="0" fontId="19" fillId="0" borderId="21" xfId="0" applyFont="1" applyBorder="1" applyAlignment="1"/>
    <xf numFmtId="0" fontId="20" fillId="0" borderId="33" xfId="0" applyFont="1" applyBorder="1" applyAlignment="1">
      <alignment horizontal="center" vertical="center"/>
    </xf>
    <xf numFmtId="0" fontId="19" fillId="0" borderId="25" xfId="0" applyFont="1" applyBorder="1" applyAlignment="1">
      <alignment vertical="center"/>
    </xf>
    <xf numFmtId="0" fontId="20" fillId="0" borderId="44" xfId="0" applyFont="1" applyBorder="1" applyAlignment="1">
      <alignment horizontal="center" vertical="center"/>
    </xf>
    <xf numFmtId="0" fontId="79" fillId="0" borderId="26" xfId="0" applyFont="1" applyBorder="1"/>
    <xf numFmtId="0" fontId="79" fillId="0" borderId="0" xfId="0" applyFont="1" applyBorder="1" applyAlignment="1"/>
    <xf numFmtId="17" fontId="79" fillId="0" borderId="0" xfId="0" applyNumberFormat="1" applyFont="1" applyBorder="1" applyAlignment="1">
      <alignment horizontal="center"/>
    </xf>
    <xf numFmtId="17" fontId="79" fillId="0" borderId="0" xfId="0" applyNumberFormat="1" applyFont="1" applyBorder="1" applyAlignment="1">
      <alignment vertical="top" wrapText="1"/>
    </xf>
    <xf numFmtId="17" fontId="79" fillId="0" borderId="0" xfId="0" applyNumberFormat="1" applyFont="1" applyBorder="1" applyAlignment="1">
      <alignment vertical="top"/>
    </xf>
    <xf numFmtId="0" fontId="79" fillId="0" borderId="27" xfId="0" applyFont="1" applyBorder="1"/>
    <xf numFmtId="0" fontId="79" fillId="0" borderId="0" xfId="0" applyFont="1"/>
    <xf numFmtId="167" fontId="79" fillId="0" borderId="0" xfId="1" applyNumberFormat="1" applyFont="1" applyBorder="1" applyAlignment="1">
      <alignment horizontal="right"/>
    </xf>
    <xf numFmtId="167" fontId="79" fillId="0" borderId="0" xfId="1" applyNumberFormat="1" applyFont="1" applyBorder="1" applyAlignment="1"/>
    <xf numFmtId="169" fontId="80" fillId="0" borderId="0" xfId="1" applyNumberFormat="1" applyFont="1" applyBorder="1" applyAlignment="1">
      <alignment horizontal="right"/>
    </xf>
    <xf numFmtId="165" fontId="79" fillId="0" borderId="0" xfId="1" applyNumberFormat="1" applyFont="1" applyBorder="1" applyAlignment="1"/>
    <xf numFmtId="0" fontId="79" fillId="0" borderId="0" xfId="0" applyFont="1" applyBorder="1"/>
    <xf numFmtId="167" fontId="80" fillId="0" borderId="0" xfId="1" applyNumberFormat="1" applyFont="1" applyBorder="1" applyAlignment="1"/>
    <xf numFmtId="164" fontId="79" fillId="0" borderId="0" xfId="2" applyFont="1" applyBorder="1" applyAlignment="1">
      <alignment horizontal="right"/>
    </xf>
    <xf numFmtId="167" fontId="79" fillId="0" borderId="0" xfId="1" applyNumberFormat="1" applyFont="1" applyBorder="1" applyAlignment="1">
      <alignment horizontal="center"/>
    </xf>
    <xf numFmtId="0" fontId="79" fillId="0" borderId="0" xfId="0" applyFont="1" applyBorder="1" applyAlignment="1">
      <alignment horizontal="right"/>
    </xf>
    <xf numFmtId="0" fontId="79" fillId="0" borderId="0" xfId="0" applyFont="1" applyBorder="1" applyAlignment="1">
      <alignment horizontal="center"/>
    </xf>
    <xf numFmtId="0" fontId="79" fillId="0" borderId="0" xfId="0" applyFont="1" applyBorder="1" applyAlignment="1">
      <alignment vertical="center"/>
    </xf>
    <xf numFmtId="0" fontId="0" fillId="0" borderId="0" xfId="0" applyAlignment="1">
      <alignment horizontal="center"/>
    </xf>
    <xf numFmtId="0" fontId="0" fillId="0" borderId="4" xfId="0" applyBorder="1"/>
    <xf numFmtId="0" fontId="20" fillId="0" borderId="0" xfId="0" applyFont="1" applyBorder="1" applyAlignment="1">
      <alignment horizontal="center"/>
    </xf>
    <xf numFmtId="0" fontId="8" fillId="0" borderId="0" xfId="0" applyFont="1" applyBorder="1" applyAlignment="1">
      <alignment horizontal="center"/>
    </xf>
    <xf numFmtId="0" fontId="6" fillId="0" borderId="0" xfId="0" applyFont="1" applyBorder="1" applyAlignment="1">
      <alignment horizontal="justify" vertical="center"/>
    </xf>
    <xf numFmtId="0" fontId="63" fillId="0" borderId="0" xfId="0" applyFont="1" applyBorder="1" applyAlignment="1">
      <alignment horizontal="center" vertical="top"/>
    </xf>
    <xf numFmtId="0" fontId="63" fillId="0" borderId="0" xfId="0" applyFont="1" applyBorder="1" applyAlignment="1">
      <alignment horizontal="center"/>
    </xf>
    <xf numFmtId="2" fontId="63" fillId="0" borderId="0" xfId="0" applyNumberFormat="1" applyFont="1" applyBorder="1" applyAlignment="1">
      <alignment horizontal="center"/>
    </xf>
    <xf numFmtId="2" fontId="63" fillId="0" borderId="27" xfId="0" applyNumberFormat="1" applyFont="1" applyBorder="1" applyAlignment="1">
      <alignment horizontal="center"/>
    </xf>
    <xf numFmtId="0" fontId="37" fillId="0" borderId="0" xfId="0" applyFont="1" applyAlignment="1">
      <alignment horizontal="left"/>
    </xf>
    <xf numFmtId="0" fontId="36" fillId="0" borderId="14" xfId="0" applyFont="1" applyBorder="1" applyAlignment="1">
      <alignment horizontal="center"/>
    </xf>
    <xf numFmtId="0" fontId="0" fillId="0" borderId="4" xfId="0" applyBorder="1" applyAlignment="1">
      <alignment horizontal="center"/>
    </xf>
    <xf numFmtId="0" fontId="55" fillId="2" borderId="45" xfId="0" applyFont="1" applyFill="1" applyBorder="1" applyAlignment="1">
      <alignment horizontal="left" vertical="center" wrapText="1" readingOrder="1"/>
    </xf>
    <xf numFmtId="0" fontId="63" fillId="0" borderId="0" xfId="0" applyFont="1" applyBorder="1" applyAlignment="1">
      <alignment horizontal="center" vertical="center"/>
    </xf>
    <xf numFmtId="37" fontId="58" fillId="0" borderId="0" xfId="0" applyNumberFormat="1" applyFont="1" applyFill="1" applyBorder="1" applyAlignment="1">
      <alignment horizontal="center" wrapText="1" readingOrder="1"/>
    </xf>
    <xf numFmtId="0" fontId="61" fillId="3" borderId="46" xfId="0" applyFont="1" applyFill="1" applyBorder="1" applyAlignment="1">
      <alignment horizontal="left" vertical="center" wrapText="1" readingOrder="1"/>
    </xf>
    <xf numFmtId="0" fontId="65" fillId="0" borderId="0" xfId="0" applyFont="1" applyBorder="1" applyAlignment="1">
      <alignment horizontal="left"/>
    </xf>
    <xf numFmtId="0" fontId="84" fillId="4" borderId="4" xfId="0" applyFont="1" applyFill="1" applyBorder="1" applyAlignment="1">
      <alignment horizontal="center" vertical="center" wrapText="1" readingOrder="1"/>
    </xf>
    <xf numFmtId="0" fontId="84" fillId="4" borderId="4" xfId="0" applyFont="1" applyFill="1" applyBorder="1" applyAlignment="1">
      <alignment horizontal="left" vertical="center" wrapText="1" readingOrder="1"/>
    </xf>
    <xf numFmtId="0" fontId="84" fillId="4" borderId="3" xfId="0" applyFont="1" applyFill="1" applyBorder="1" applyAlignment="1">
      <alignment horizontal="left" vertical="center" wrapText="1" readingOrder="1"/>
    </xf>
    <xf numFmtId="0" fontId="65" fillId="0" borderId="26" xfId="0" applyFont="1" applyBorder="1" applyAlignment="1">
      <alignment horizontal="left"/>
    </xf>
    <xf numFmtId="0" fontId="65" fillId="0" borderId="26" xfId="0" applyFont="1" applyBorder="1"/>
    <xf numFmtId="0" fontId="55" fillId="2" borderId="47" xfId="0" applyFont="1" applyFill="1" applyBorder="1" applyAlignment="1">
      <alignment horizontal="left" wrapText="1" readingOrder="1"/>
    </xf>
    <xf numFmtId="0" fontId="0" fillId="0" borderId="27" xfId="0" applyBorder="1"/>
    <xf numFmtId="0" fontId="90" fillId="4" borderId="48" xfId="0" applyFont="1" applyFill="1" applyBorder="1" applyAlignment="1">
      <alignment horizontal="center" vertical="center" wrapText="1" readingOrder="1"/>
    </xf>
    <xf numFmtId="0" fontId="89" fillId="4" borderId="48" xfId="0" applyFont="1" applyFill="1" applyBorder="1" applyAlignment="1">
      <alignment horizontal="center" vertical="center" wrapText="1" readingOrder="1"/>
    </xf>
    <xf numFmtId="0" fontId="0" fillId="0" borderId="21" xfId="0" applyBorder="1"/>
    <xf numFmtId="0" fontId="61" fillId="3" borderId="4" xfId="0" applyFont="1" applyFill="1" applyBorder="1" applyAlignment="1">
      <alignment horizontal="center" vertical="center" wrapText="1" readingOrder="1"/>
    </xf>
    <xf numFmtId="0" fontId="56" fillId="2" borderId="4" xfId="0" applyFont="1" applyFill="1" applyBorder="1" applyAlignment="1">
      <alignment horizontal="center" vertical="center" wrapText="1"/>
    </xf>
    <xf numFmtId="0" fontId="70" fillId="7" borderId="0" xfId="0" applyFont="1" applyFill="1" applyBorder="1" applyAlignment="1">
      <alignment horizontal="center" wrapText="1" readingOrder="1"/>
    </xf>
    <xf numFmtId="0" fontId="70" fillId="7" borderId="21" xfId="0" applyFont="1" applyFill="1" applyBorder="1" applyAlignment="1">
      <alignment horizontal="center" wrapText="1" readingOrder="1"/>
    </xf>
    <xf numFmtId="0" fontId="55" fillId="2" borderId="52" xfId="0" applyFont="1" applyFill="1" applyBorder="1" applyAlignment="1">
      <alignment horizontal="left" vertical="center" wrapText="1" readingOrder="1"/>
    </xf>
    <xf numFmtId="0" fontId="61" fillId="3" borderId="4" xfId="0" applyFont="1" applyFill="1" applyBorder="1" applyAlignment="1">
      <alignment horizontal="left" vertical="center" wrapText="1" readingOrder="1"/>
    </xf>
    <xf numFmtId="0" fontId="61" fillId="4" borderId="4" xfId="0" applyFont="1" applyFill="1" applyBorder="1" applyAlignment="1">
      <alignment horizontal="left" vertical="center" wrapText="1" readingOrder="1"/>
    </xf>
    <xf numFmtId="0" fontId="87" fillId="4" borderId="4" xfId="0" applyFont="1" applyFill="1" applyBorder="1" applyAlignment="1">
      <alignment horizontal="center" vertical="center" wrapText="1" readingOrder="1"/>
    </xf>
    <xf numFmtId="0" fontId="87" fillId="4" borderId="4" xfId="0" applyFont="1" applyFill="1" applyBorder="1" applyAlignment="1">
      <alignment horizontal="center" vertical="center" wrapText="1"/>
    </xf>
    <xf numFmtId="0" fontId="87" fillId="3" borderId="4" xfId="0" applyFont="1" applyFill="1" applyBorder="1" applyAlignment="1">
      <alignment horizontal="center" vertical="center" wrapText="1" readingOrder="1"/>
    </xf>
    <xf numFmtId="0" fontId="87" fillId="3" borderId="4" xfId="0" applyFont="1" applyFill="1" applyBorder="1" applyAlignment="1">
      <alignment horizontal="center" vertical="center" wrapText="1"/>
    </xf>
    <xf numFmtId="0" fontId="55" fillId="2" borderId="47" xfId="0" applyFont="1" applyFill="1" applyBorder="1" applyAlignment="1">
      <alignment horizontal="left" vertical="center" wrapText="1" readingOrder="1"/>
    </xf>
    <xf numFmtId="0" fontId="55" fillId="2" borderId="53" xfId="0" applyFont="1" applyFill="1" applyBorder="1" applyAlignment="1">
      <alignment horizontal="left" vertical="center" wrapText="1" readingOrder="1"/>
    </xf>
    <xf numFmtId="0" fontId="61" fillId="3" borderId="48" xfId="0" applyFont="1" applyFill="1" applyBorder="1" applyAlignment="1">
      <alignment horizontal="left" vertical="center" wrapText="1" readingOrder="1"/>
    </xf>
    <xf numFmtId="0" fontId="88" fillId="4" borderId="48" xfId="0" applyFont="1" applyFill="1" applyBorder="1" applyAlignment="1">
      <alignment horizontal="center" vertical="center" wrapText="1" readingOrder="1"/>
    </xf>
    <xf numFmtId="0" fontId="55" fillId="5" borderId="54" xfId="0" applyFont="1" applyFill="1" applyBorder="1" applyAlignment="1">
      <alignment horizontal="left" vertical="center" wrapText="1" readingOrder="1"/>
    </xf>
    <xf numFmtId="0" fontId="57" fillId="0" borderId="27" xfId="0" applyFont="1" applyBorder="1"/>
    <xf numFmtId="0" fontId="82" fillId="0" borderId="38" xfId="0" applyFont="1" applyBorder="1" applyAlignment="1">
      <alignment horizontal="center" vertical="center" readingOrder="1"/>
    </xf>
    <xf numFmtId="0" fontId="37" fillId="0" borderId="23" xfId="0" applyFont="1" applyBorder="1" applyAlignment="1">
      <alignment horizontal="center"/>
    </xf>
    <xf numFmtId="0" fontId="37" fillId="0" borderId="20" xfId="0" applyFont="1" applyBorder="1" applyAlignment="1">
      <alignment horizontal="center"/>
    </xf>
    <xf numFmtId="0" fontId="37" fillId="0" borderId="20" xfId="0" applyFont="1" applyBorder="1" applyAlignment="1">
      <alignment horizontal="center" vertical="center"/>
    </xf>
    <xf numFmtId="0" fontId="37" fillId="0" borderId="55" xfId="0" applyFont="1" applyBorder="1" applyAlignment="1">
      <alignment horizontal="center"/>
    </xf>
    <xf numFmtId="0" fontId="37" fillId="0" borderId="35" xfId="0" applyFont="1" applyBorder="1" applyAlignment="1">
      <alignment horizontal="center"/>
    </xf>
    <xf numFmtId="0" fontId="37" fillId="0" borderId="1" xfId="0" applyFont="1" applyBorder="1" applyAlignment="1">
      <alignment horizontal="center"/>
    </xf>
    <xf numFmtId="0" fontId="37" fillId="0" borderId="10" xfId="0" applyFont="1" applyBorder="1" applyAlignment="1">
      <alignment horizontal="center"/>
    </xf>
    <xf numFmtId="0" fontId="50" fillId="0" borderId="4" xfId="0" applyFont="1" applyBorder="1" applyAlignment="1">
      <alignment horizontal="center"/>
    </xf>
    <xf numFmtId="0" fontId="91" fillId="0" borderId="4" xfId="0" applyFont="1" applyBorder="1" applyAlignment="1">
      <alignment horizontal="center"/>
    </xf>
    <xf numFmtId="0" fontId="63" fillId="0" borderId="7" xfId="0" applyFont="1" applyBorder="1" applyAlignment="1">
      <alignment horizontal="center" vertical="center"/>
    </xf>
    <xf numFmtId="168" fontId="44" fillId="0" borderId="0" xfId="0" applyNumberFormat="1" applyFont="1" applyBorder="1" applyAlignment="1"/>
    <xf numFmtId="0" fontId="63" fillId="0" borderId="10" xfId="0" applyFont="1" applyBorder="1" applyAlignment="1">
      <alignment horizontal="center" vertical="center"/>
    </xf>
    <xf numFmtId="0" fontId="93" fillId="0" borderId="0" xfId="0" applyFont="1" applyBorder="1" applyAlignment="1"/>
    <xf numFmtId="165" fontId="44" fillId="0" borderId="0" xfId="1" applyFont="1" applyBorder="1" applyAlignment="1"/>
    <xf numFmtId="0" fontId="44" fillId="0" borderId="0" xfId="0" applyFont="1" applyBorder="1" applyAlignment="1"/>
    <xf numFmtId="0" fontId="94" fillId="0" borderId="0" xfId="0" applyFont="1" applyBorder="1" applyAlignment="1"/>
    <xf numFmtId="0" fontId="42" fillId="0" borderId="0" xfId="0" applyFont="1" applyBorder="1"/>
    <xf numFmtId="0" fontId="37" fillId="0" borderId="47" xfId="0" applyFont="1" applyBorder="1" applyAlignment="1">
      <alignment horizontal="center"/>
    </xf>
    <xf numFmtId="0" fontId="27" fillId="0" borderId="0" xfId="0" applyFont="1" applyBorder="1" applyAlignment="1">
      <alignment horizontal="center"/>
    </xf>
    <xf numFmtId="0" fontId="0" fillId="0" borderId="47" xfId="0" applyBorder="1"/>
    <xf numFmtId="0" fontId="0" fillId="0" borderId="53" xfId="0" applyBorder="1"/>
    <xf numFmtId="0" fontId="0" fillId="0" borderId="48" xfId="0" applyBorder="1"/>
    <xf numFmtId="0" fontId="0" fillId="0" borderId="48" xfId="0" applyBorder="1" applyAlignment="1">
      <alignment horizontal="center"/>
    </xf>
    <xf numFmtId="0" fontId="45" fillId="0" borderId="48" xfId="0" applyFont="1" applyBorder="1"/>
    <xf numFmtId="168" fontId="0" fillId="0" borderId="60" xfId="0" applyNumberFormat="1" applyBorder="1"/>
    <xf numFmtId="168" fontId="0" fillId="0" borderId="63" xfId="0" applyNumberFormat="1" applyBorder="1"/>
    <xf numFmtId="0" fontId="37" fillId="0" borderId="4" xfId="0" applyFont="1" applyBorder="1" applyAlignment="1">
      <alignment horizontal="center" vertical="center"/>
    </xf>
    <xf numFmtId="0" fontId="20" fillId="0" borderId="60" xfId="0" applyFont="1" applyBorder="1" applyAlignment="1">
      <alignment horizontal="center" vertical="center"/>
    </xf>
    <xf numFmtId="0" fontId="86" fillId="4" borderId="4" xfId="0" applyFont="1" applyFill="1" applyBorder="1" applyAlignment="1">
      <alignment horizontal="center" vertical="center" wrapText="1" readingOrder="1"/>
    </xf>
    <xf numFmtId="0" fontId="85" fillId="4" borderId="4" xfId="0" applyFont="1" applyFill="1" applyBorder="1" applyAlignment="1">
      <alignment horizontal="center" vertical="center" wrapText="1" readingOrder="1"/>
    </xf>
    <xf numFmtId="164" fontId="0" fillId="8" borderId="0" xfId="2" applyFont="1" applyFill="1"/>
    <xf numFmtId="0" fontId="0" fillId="8" borderId="0" xfId="0" applyFill="1"/>
    <xf numFmtId="10" fontId="0" fillId="8" borderId="0" xfId="0" applyNumberFormat="1" applyFill="1" applyAlignment="1">
      <alignment horizontal="left" indent="13"/>
    </xf>
    <xf numFmtId="0" fontId="97" fillId="0" borderId="26" xfId="0" applyFont="1" applyBorder="1"/>
    <xf numFmtId="0" fontId="97" fillId="0" borderId="0" xfId="0" applyFont="1" applyBorder="1" applyAlignment="1"/>
    <xf numFmtId="17" fontId="97" fillId="0" borderId="0" xfId="0" applyNumberFormat="1" applyFont="1" applyBorder="1" applyAlignment="1">
      <alignment horizontal="center"/>
    </xf>
    <xf numFmtId="17" fontId="97" fillId="0" borderId="0" xfId="0" applyNumberFormat="1" applyFont="1" applyBorder="1" applyAlignment="1">
      <alignment vertical="top" wrapText="1"/>
    </xf>
    <xf numFmtId="17" fontId="97" fillId="0" borderId="0" xfId="0" applyNumberFormat="1" applyFont="1" applyBorder="1" applyAlignment="1">
      <alignment vertical="top"/>
    </xf>
    <xf numFmtId="0" fontId="97" fillId="0" borderId="27" xfId="0" applyFont="1" applyBorder="1"/>
    <xf numFmtId="0" fontId="97" fillId="0" borderId="0" xfId="0" applyFont="1"/>
    <xf numFmtId="167" fontId="97" fillId="0" borderId="0" xfId="1" applyNumberFormat="1" applyFont="1" applyBorder="1" applyAlignment="1">
      <alignment horizontal="right"/>
    </xf>
    <xf numFmtId="167" fontId="97" fillId="0" borderId="0" xfId="1" applyNumberFormat="1" applyFont="1" applyBorder="1" applyAlignment="1"/>
    <xf numFmtId="169" fontId="98" fillId="0" borderId="0" xfId="1" applyNumberFormat="1" applyFont="1" applyBorder="1" applyAlignment="1">
      <alignment horizontal="right"/>
    </xf>
    <xf numFmtId="165" fontId="97" fillId="0" borderId="0" xfId="1" applyNumberFormat="1" applyFont="1" applyBorder="1" applyAlignment="1"/>
    <xf numFmtId="0" fontId="97" fillId="0" borderId="0" xfId="0" applyFont="1" applyBorder="1"/>
    <xf numFmtId="167" fontId="98" fillId="0" borderId="0" xfId="1" applyNumberFormat="1" applyFont="1" applyBorder="1" applyAlignment="1"/>
    <xf numFmtId="164" fontId="97" fillId="0" borderId="0" xfId="2" applyFont="1" applyBorder="1" applyAlignment="1">
      <alignment horizontal="right"/>
    </xf>
    <xf numFmtId="0" fontId="97" fillId="0" borderId="0" xfId="0" applyFont="1" applyBorder="1" applyAlignment="1">
      <alignment horizontal="center"/>
    </xf>
    <xf numFmtId="0" fontId="97" fillId="0" borderId="0" xfId="0" applyFont="1" applyBorder="1" applyAlignment="1">
      <alignment vertical="center"/>
    </xf>
    <xf numFmtId="0" fontId="20" fillId="0" borderId="0" xfId="0" applyFont="1" applyAlignment="1">
      <alignment vertical="center"/>
    </xf>
    <xf numFmtId="0" fontId="100" fillId="0" borderId="0" xfId="3" applyFont="1" applyBorder="1" applyAlignment="1" applyProtection="1">
      <alignment vertical="center"/>
    </xf>
    <xf numFmtId="0" fontId="100" fillId="0" borderId="0" xfId="3" applyFont="1" applyAlignment="1" applyProtection="1">
      <alignment vertical="center"/>
    </xf>
    <xf numFmtId="0" fontId="0" fillId="0" borderId="4" xfId="0" applyBorder="1"/>
    <xf numFmtId="0" fontId="0" fillId="9" borderId="0" xfId="0" applyFill="1"/>
    <xf numFmtId="0" fontId="0" fillId="10" borderId="0" xfId="0" applyFill="1"/>
    <xf numFmtId="0" fontId="0" fillId="9" borderId="4" xfId="0" applyFill="1" applyBorder="1"/>
    <xf numFmtId="0" fontId="0" fillId="10" borderId="4" xfId="0" applyFill="1" applyBorder="1" applyAlignment="1">
      <alignment horizontal="center"/>
    </xf>
    <xf numFmtId="14" fontId="0" fillId="6" borderId="4" xfId="0" applyNumberFormat="1" applyFill="1" applyBorder="1"/>
    <xf numFmtId="0" fontId="0" fillId="0" borderId="4" xfId="0" applyFill="1" applyBorder="1"/>
    <xf numFmtId="0" fontId="0" fillId="8" borderId="4" xfId="0" applyFill="1" applyBorder="1"/>
    <xf numFmtId="10" fontId="71" fillId="0" borderId="0" xfId="4" applyNumberFormat="1" applyFont="1"/>
    <xf numFmtId="165" fontId="72" fillId="0" borderId="4" xfId="1" applyFont="1" applyBorder="1"/>
    <xf numFmtId="0" fontId="72" fillId="0" borderId="4" xfId="0" applyFont="1" applyBorder="1"/>
    <xf numFmtId="0" fontId="0" fillId="0" borderId="0" xfId="0" applyAlignment="1">
      <alignment horizontal="center"/>
    </xf>
    <xf numFmtId="0" fontId="5" fillId="0" borderId="0" xfId="0" applyNumberFormat="1" applyFont="1" applyBorder="1" applyAlignment="1"/>
    <xf numFmtId="1" fontId="19" fillId="0" borderId="0" xfId="0" quotePrefix="1" applyNumberFormat="1" applyFont="1" applyBorder="1" applyAlignment="1"/>
    <xf numFmtId="167" fontId="6" fillId="0" borderId="27" xfId="1" applyNumberFormat="1" applyFont="1" applyBorder="1" applyAlignment="1"/>
    <xf numFmtId="164" fontId="19" fillId="0" borderId="16" xfId="0" applyNumberFormat="1" applyFont="1" applyBorder="1" applyAlignment="1"/>
    <xf numFmtId="167" fontId="19" fillId="0" borderId="16" xfId="1" applyNumberFormat="1" applyFont="1" applyBorder="1" applyAlignment="1"/>
    <xf numFmtId="0" fontId="81" fillId="0" borderId="27" xfId="0" applyFont="1" applyBorder="1" applyAlignment="1"/>
    <xf numFmtId="0" fontId="19" fillId="0" borderId="12" xfId="0" applyFont="1" applyBorder="1" applyAlignment="1">
      <alignment horizontal="right"/>
    </xf>
    <xf numFmtId="0" fontId="19" fillId="0" borderId="11" xfId="0" applyFont="1" applyBorder="1"/>
    <xf numFmtId="0" fontId="7" fillId="0" borderId="1" xfId="0" applyNumberFormat="1" applyFont="1" applyBorder="1"/>
    <xf numFmtId="0" fontId="101" fillId="0" borderId="0" xfId="0" applyFont="1" applyFill="1"/>
    <xf numFmtId="14" fontId="19" fillId="0" borderId="0" xfId="0" applyNumberFormat="1" applyFont="1" applyBorder="1" applyAlignment="1">
      <alignment horizontal="right"/>
    </xf>
    <xf numFmtId="0" fontId="20" fillId="0" borderId="0" xfId="0" applyFont="1" applyBorder="1" applyAlignment="1">
      <alignment horizontal="center"/>
    </xf>
    <xf numFmtId="17" fontId="19" fillId="0" borderId="7" xfId="0" applyNumberFormat="1" applyFont="1" applyBorder="1" applyAlignment="1">
      <alignment horizontal="center"/>
    </xf>
    <xf numFmtId="17" fontId="19" fillId="0" borderId="8" xfId="0" applyNumberFormat="1" applyFont="1" applyBorder="1" applyAlignment="1"/>
    <xf numFmtId="17" fontId="19" fillId="0" borderId="8" xfId="0" applyNumberFormat="1" applyFont="1" applyBorder="1" applyAlignment="1">
      <alignment vertical="top"/>
    </xf>
    <xf numFmtId="17" fontId="20" fillId="0" borderId="4" xfId="0" applyNumberFormat="1" applyFont="1" applyBorder="1" applyAlignment="1">
      <alignment horizontal="center" vertical="top"/>
    </xf>
    <xf numFmtId="17" fontId="19" fillId="0" borderId="9" xfId="0" applyNumberFormat="1" applyFont="1" applyBorder="1" applyAlignment="1">
      <alignment horizontal="center"/>
    </xf>
    <xf numFmtId="17" fontId="19" fillId="0" borderId="5" xfId="0" applyNumberFormat="1" applyFont="1" applyBorder="1" applyAlignment="1">
      <alignment vertical="top"/>
    </xf>
    <xf numFmtId="0" fontId="19" fillId="0" borderId="9" xfId="0" applyFont="1" applyBorder="1" applyAlignment="1">
      <alignment horizontal="center"/>
    </xf>
    <xf numFmtId="0" fontId="27" fillId="0" borderId="0" xfId="0" applyNumberFormat="1" applyFont="1" applyBorder="1" applyAlignment="1">
      <alignment horizontal="right"/>
    </xf>
    <xf numFmtId="17" fontId="19" fillId="0" borderId="10" xfId="0" applyNumberFormat="1" applyFont="1" applyBorder="1" applyAlignment="1">
      <alignment horizontal="center"/>
    </xf>
    <xf numFmtId="17" fontId="19" fillId="0" borderId="1" xfId="0" applyNumberFormat="1" applyFont="1" applyBorder="1" applyAlignment="1">
      <alignment vertical="top"/>
    </xf>
    <xf numFmtId="17" fontId="20" fillId="0" borderId="6" xfId="0" applyNumberFormat="1" applyFont="1" applyBorder="1" applyAlignment="1">
      <alignment horizontal="center" vertical="top"/>
    </xf>
    <xf numFmtId="17" fontId="19" fillId="0" borderId="0" xfId="0" applyNumberFormat="1" applyFont="1" applyBorder="1" applyAlignment="1">
      <alignment horizontal="center"/>
    </xf>
    <xf numFmtId="9" fontId="12" fillId="0" borderId="0" xfId="0" applyNumberFormat="1" applyFont="1" applyBorder="1" applyAlignment="1"/>
    <xf numFmtId="167" fontId="19" fillId="0" borderId="0" xfId="1" applyNumberFormat="1" applyFont="1" applyBorder="1" applyAlignment="1">
      <alignment horizontal="center"/>
    </xf>
    <xf numFmtId="40" fontId="11" fillId="0" borderId="0" xfId="0" applyNumberFormat="1" applyFont="1" applyBorder="1"/>
    <xf numFmtId="0" fontId="11" fillId="0" borderId="7" xfId="0" applyFont="1" applyBorder="1" applyAlignment="1"/>
    <xf numFmtId="0" fontId="11" fillId="0" borderId="8" xfId="0" applyFont="1" applyBorder="1"/>
    <xf numFmtId="167" fontId="11" fillId="0" borderId="8" xfId="0" applyNumberFormat="1" applyFont="1" applyBorder="1"/>
    <xf numFmtId="167" fontId="19" fillId="0" borderId="8" xfId="1" applyNumberFormat="1" applyFont="1" applyBorder="1" applyAlignment="1"/>
    <xf numFmtId="167" fontId="19" fillId="0" borderId="8" xfId="1" applyNumberFormat="1" applyFont="1" applyBorder="1" applyAlignment="1">
      <alignment horizontal="center"/>
    </xf>
    <xf numFmtId="0" fontId="20" fillId="0" borderId="8" xfId="0" applyFont="1" applyBorder="1" applyAlignment="1">
      <alignment horizontal="left"/>
    </xf>
    <xf numFmtId="0" fontId="20" fillId="0" borderId="8" xfId="0" applyFont="1" applyBorder="1" applyAlignment="1"/>
    <xf numFmtId="40" fontId="11" fillId="0" borderId="4" xfId="0" applyNumberFormat="1" applyFont="1" applyBorder="1" applyAlignment="1">
      <alignment horizontal="center"/>
    </xf>
    <xf numFmtId="0" fontId="11" fillId="0" borderId="9" xfId="0" applyFont="1" applyBorder="1" applyAlignment="1"/>
    <xf numFmtId="40" fontId="11" fillId="0" borderId="5" xfId="0" applyNumberFormat="1" applyFont="1" applyBorder="1" applyAlignment="1">
      <alignment horizontal="center"/>
    </xf>
    <xf numFmtId="40" fontId="11" fillId="0" borderId="5" xfId="0" applyNumberFormat="1" applyFont="1" applyBorder="1"/>
    <xf numFmtId="0" fontId="11" fillId="0" borderId="10" xfId="0" applyFont="1" applyBorder="1" applyAlignment="1"/>
    <xf numFmtId="0" fontId="11" fillId="0" borderId="1" xfId="0" applyFont="1" applyBorder="1"/>
    <xf numFmtId="167" fontId="11" fillId="0" borderId="1" xfId="0" applyNumberFormat="1" applyFont="1" applyBorder="1"/>
    <xf numFmtId="167" fontId="19" fillId="0" borderId="1" xfId="1" applyNumberFormat="1" applyFont="1" applyBorder="1" applyAlignment="1"/>
    <xf numFmtId="167" fontId="19" fillId="0" borderId="1" xfId="1" applyNumberFormat="1" applyFont="1" applyBorder="1" applyAlignment="1">
      <alignment horizontal="center"/>
    </xf>
    <xf numFmtId="0" fontId="20" fillId="0" borderId="1" xfId="0" applyFont="1" applyBorder="1" applyAlignment="1">
      <alignment horizontal="left"/>
    </xf>
    <xf numFmtId="0" fontId="20" fillId="0" borderId="1" xfId="0" applyFont="1" applyBorder="1" applyAlignment="1"/>
    <xf numFmtId="0" fontId="7" fillId="0" borderId="5" xfId="0" applyFont="1" applyBorder="1" applyAlignment="1">
      <alignment horizontal="center"/>
    </xf>
    <xf numFmtId="0" fontId="7" fillId="0" borderId="4" xfId="0" applyFont="1" applyFill="1" applyBorder="1" applyAlignment="1">
      <alignment horizontal="center"/>
    </xf>
    <xf numFmtId="0" fontId="7" fillId="0" borderId="27" xfId="0" applyFont="1" applyFill="1" applyBorder="1" applyAlignment="1"/>
    <xf numFmtId="17" fontId="19" fillId="0" borderId="0" xfId="0" applyNumberFormat="1" applyFont="1" applyBorder="1" applyAlignment="1">
      <alignment vertical="top" wrapText="1"/>
    </xf>
    <xf numFmtId="169" fontId="20" fillId="0" borderId="0" xfId="1" applyNumberFormat="1" applyFont="1" applyBorder="1" applyAlignment="1">
      <alignment horizontal="right"/>
    </xf>
    <xf numFmtId="165" fontId="19" fillId="0" borderId="0" xfId="1" applyNumberFormat="1" applyFont="1" applyBorder="1" applyAlignment="1"/>
    <xf numFmtId="167" fontId="20" fillId="0" borderId="0" xfId="1" applyNumberFormat="1" applyFont="1" applyBorder="1" applyAlignment="1"/>
    <xf numFmtId="0" fontId="19" fillId="0" borderId="0" xfId="0" applyFont="1" applyBorder="1" applyAlignment="1">
      <alignment horizontal="right"/>
    </xf>
    <xf numFmtId="0" fontId="12" fillId="0" borderId="8" xfId="0" applyFont="1" applyBorder="1" applyAlignment="1"/>
    <xf numFmtId="0" fontId="19" fillId="0" borderId="8" xfId="0" applyFont="1" applyBorder="1" applyAlignment="1">
      <alignment horizontal="right"/>
    </xf>
    <xf numFmtId="0" fontId="19" fillId="0" borderId="8" xfId="0" applyFont="1" applyBorder="1"/>
    <xf numFmtId="0" fontId="19" fillId="0" borderId="8" xfId="0" applyFont="1" applyBorder="1" applyAlignment="1">
      <alignment horizontal="center"/>
    </xf>
    <xf numFmtId="0" fontId="19" fillId="0" borderId="5" xfId="0" applyFont="1" applyBorder="1" applyAlignment="1">
      <alignment vertical="center"/>
    </xf>
    <xf numFmtId="0" fontId="12" fillId="0" borderId="1" xfId="0" applyFont="1" applyBorder="1" applyAlignment="1"/>
    <xf numFmtId="0" fontId="19" fillId="0" borderId="1" xfId="0" applyFont="1" applyBorder="1" applyAlignment="1">
      <alignment horizontal="right"/>
    </xf>
    <xf numFmtId="0" fontId="19" fillId="0" borderId="1" xfId="0" applyFont="1" applyBorder="1" applyAlignment="1">
      <alignment horizontal="center"/>
    </xf>
    <xf numFmtId="0" fontId="20" fillId="0" borderId="21" xfId="0" applyFont="1" applyBorder="1" applyAlignment="1">
      <alignment horizontal="center"/>
    </xf>
    <xf numFmtId="0" fontId="21" fillId="0" borderId="21" xfId="0" applyFont="1" applyBorder="1" applyAlignment="1">
      <alignment horizontal="center"/>
    </xf>
    <xf numFmtId="0" fontId="27" fillId="0" borderId="0" xfId="0" applyNumberFormat="1" applyFont="1" applyBorder="1"/>
    <xf numFmtId="164" fontId="19" fillId="0" borderId="0" xfId="2" applyFont="1" applyBorder="1" applyAlignment="1"/>
    <xf numFmtId="170" fontId="19" fillId="8" borderId="0" xfId="0" applyNumberFormat="1" applyFont="1" applyFill="1"/>
    <xf numFmtId="0" fontId="37" fillId="0" borderId="0" xfId="0" applyFont="1" applyAlignment="1">
      <alignment horizontal="center" vertical="center"/>
    </xf>
    <xf numFmtId="14" fontId="19" fillId="0" borderId="1" xfId="0" applyNumberFormat="1" applyFont="1" applyBorder="1" applyAlignment="1">
      <alignment horizontal="left"/>
    </xf>
    <xf numFmtId="0" fontId="72" fillId="0" borderId="0" xfId="0" applyFont="1" applyFill="1" applyBorder="1"/>
    <xf numFmtId="6" fontId="0" fillId="0" borderId="0" xfId="0" applyNumberFormat="1"/>
    <xf numFmtId="0" fontId="102" fillId="0" borderId="0" xfId="6" applyFont="1" applyAlignment="1"/>
    <xf numFmtId="10" fontId="102" fillId="0" borderId="0" xfId="6" applyNumberFormat="1" applyFont="1" applyAlignment="1"/>
    <xf numFmtId="167" fontId="71" fillId="0" borderId="8" xfId="1" applyNumberFormat="1" applyFont="1" applyBorder="1" applyAlignment="1"/>
    <xf numFmtId="0" fontId="40" fillId="0" borderId="0" xfId="0" applyFont="1" applyBorder="1" applyAlignment="1">
      <alignment horizontal="center"/>
    </xf>
    <xf numFmtId="0" fontId="7" fillId="0" borderId="21" xfId="0" applyFont="1" applyBorder="1" applyAlignment="1">
      <alignment horizontal="center"/>
    </xf>
    <xf numFmtId="0" fontId="20" fillId="0" borderId="0" xfId="0" applyFont="1" applyBorder="1" applyAlignment="1">
      <alignment horizontal="center"/>
    </xf>
    <xf numFmtId="164" fontId="5" fillId="0" borderId="1" xfId="2" applyFont="1" applyBorder="1"/>
    <xf numFmtId="0" fontId="5" fillId="0" borderId="1" xfId="0" applyFont="1" applyBorder="1" applyAlignment="1">
      <alignment horizontal="left"/>
    </xf>
    <xf numFmtId="0" fontId="5" fillId="0" borderId="0" xfId="0" applyFont="1" applyBorder="1" applyAlignment="1">
      <alignment horizontal="left"/>
    </xf>
    <xf numFmtId="0" fontId="5" fillId="0" borderId="1" xfId="0" quotePrefix="1" applyFont="1" applyBorder="1" applyAlignment="1"/>
    <xf numFmtId="164" fontId="72" fillId="0" borderId="0" xfId="2" applyFont="1" applyBorder="1"/>
    <xf numFmtId="0" fontId="23" fillId="0" borderId="0" xfId="0" applyFont="1" applyBorder="1"/>
    <xf numFmtId="167" fontId="23" fillId="0" borderId="0" xfId="1" applyNumberFormat="1" applyFont="1" applyBorder="1"/>
    <xf numFmtId="167" fontId="19" fillId="0" borderId="0" xfId="1" applyNumberFormat="1" applyFont="1"/>
    <xf numFmtId="0" fontId="72" fillId="0" borderId="20" xfId="0" applyFont="1" applyBorder="1" applyAlignment="1">
      <alignment horizontal="center" vertical="center"/>
    </xf>
    <xf numFmtId="0" fontId="0" fillId="0" borderId="0" xfId="0" applyAlignment="1">
      <alignment horizontal="center"/>
    </xf>
    <xf numFmtId="0" fontId="102" fillId="0" borderId="0" xfId="6" applyFont="1" applyAlignment="1">
      <alignment horizontal="left"/>
    </xf>
    <xf numFmtId="167" fontId="27" fillId="0" borderId="0" xfId="1" applyNumberFormat="1" applyFont="1"/>
    <xf numFmtId="164" fontId="27" fillId="0" borderId="0" xfId="0" applyNumberFormat="1" applyFont="1"/>
    <xf numFmtId="164" fontId="28" fillId="0" borderId="0" xfId="0" applyNumberFormat="1" applyFont="1"/>
    <xf numFmtId="0" fontId="20" fillId="0" borderId="0" xfId="0" applyFont="1" applyBorder="1" applyAlignment="1">
      <alignment horizontal="center"/>
    </xf>
    <xf numFmtId="0" fontId="7" fillId="0" borderId="0" xfId="0" applyFont="1" applyBorder="1" applyAlignment="1">
      <alignment horizontal="center"/>
    </xf>
    <xf numFmtId="0" fontId="8" fillId="0" borderId="0" xfId="0" applyFont="1" applyBorder="1" applyAlignment="1">
      <alignment horizontal="center"/>
    </xf>
    <xf numFmtId="0" fontId="8" fillId="0" borderId="20" xfId="0" applyFont="1" applyBorder="1" applyAlignment="1">
      <alignment horizontal="center"/>
    </xf>
    <xf numFmtId="0" fontId="72" fillId="0" borderId="0" xfId="0" applyFont="1" applyBorder="1" applyAlignment="1">
      <alignment horizontal="center" vertical="center"/>
    </xf>
    <xf numFmtId="167" fontId="72" fillId="0" borderId="21" xfId="1" applyNumberFormat="1" applyFont="1" applyBorder="1" applyAlignment="1">
      <alignment horizontal="center" vertical="center"/>
    </xf>
    <xf numFmtId="167" fontId="41" fillId="0" borderId="0" xfId="1" applyNumberFormat="1" applyFont="1" applyAlignment="1">
      <alignment horizontal="center" vertical="center"/>
    </xf>
    <xf numFmtId="0" fontId="19" fillId="0" borderId="0" xfId="0" applyFont="1" applyAlignment="1">
      <alignment horizontal="center" vertical="center"/>
    </xf>
    <xf numFmtId="0" fontId="19" fillId="0" borderId="9" xfId="0" applyNumberFormat="1" applyFont="1" applyBorder="1" applyAlignment="1">
      <alignment vertical="top"/>
    </xf>
    <xf numFmtId="0" fontId="5" fillId="0" borderId="1" xfId="0" applyNumberFormat="1" applyFont="1" applyBorder="1" applyAlignment="1">
      <alignment vertical="top" wrapText="1"/>
    </xf>
    <xf numFmtId="0" fontId="19" fillId="0" borderId="0" xfId="0" applyNumberFormat="1" applyFont="1" applyBorder="1" applyAlignment="1">
      <alignment vertical="top"/>
    </xf>
    <xf numFmtId="165" fontId="5" fillId="0" borderId="12" xfId="1" applyFont="1" applyBorder="1" applyAlignment="1">
      <alignment vertical="top"/>
    </xf>
    <xf numFmtId="167" fontId="71" fillId="0" borderId="27" xfId="1" applyNumberFormat="1" applyFont="1" applyBorder="1"/>
    <xf numFmtId="172" fontId="71" fillId="0" borderId="43" xfId="1" applyNumberFormat="1" applyFont="1" applyBorder="1" applyAlignment="1">
      <alignment horizontal="left"/>
    </xf>
    <xf numFmtId="0" fontId="94" fillId="0" borderId="9" xfId="0" applyNumberFormat="1" applyFont="1" applyBorder="1"/>
    <xf numFmtId="172" fontId="8" fillId="0" borderId="16" xfId="0" applyNumberFormat="1" applyFont="1" applyBorder="1"/>
    <xf numFmtId="167" fontId="7" fillId="0" borderId="12" xfId="0" applyNumberFormat="1" applyFont="1" applyBorder="1"/>
    <xf numFmtId="0" fontId="102" fillId="0" borderId="0" xfId="6" applyFont="1"/>
    <xf numFmtId="0" fontId="102" fillId="0" borderId="0" xfId="6" applyFont="1" applyAlignment="1">
      <alignment horizontal="right"/>
    </xf>
    <xf numFmtId="0" fontId="102" fillId="0" borderId="0" xfId="6" quotePrefix="1" applyFont="1"/>
    <xf numFmtId="0" fontId="102" fillId="0" borderId="0" xfId="6" applyFont="1" applyAlignment="1">
      <alignment horizontal="center" vertical="center"/>
    </xf>
    <xf numFmtId="0" fontId="102" fillId="0" borderId="0" xfId="6" applyFont="1" applyAlignment="1">
      <alignment horizontal="left" wrapText="1"/>
    </xf>
    <xf numFmtId="43" fontId="19" fillId="0" borderId="0" xfId="0" applyNumberFormat="1" applyFont="1"/>
    <xf numFmtId="0" fontId="20" fillId="0" borderId="0" xfId="0" applyFont="1" applyBorder="1" applyAlignment="1">
      <alignment horizontal="center"/>
    </xf>
    <xf numFmtId="0" fontId="7" fillId="0" borderId="0" xfId="0" applyFont="1" applyBorder="1" applyAlignment="1">
      <alignment horizontal="center"/>
    </xf>
    <xf numFmtId="0" fontId="8" fillId="0" borderId="0" xfId="0" applyFont="1" applyBorder="1" applyAlignment="1">
      <alignment horizontal="center"/>
    </xf>
    <xf numFmtId="0" fontId="8" fillId="0" borderId="20" xfId="0" applyFont="1" applyBorder="1" applyAlignment="1">
      <alignment horizontal="center"/>
    </xf>
    <xf numFmtId="0" fontId="28" fillId="0" borderId="33" xfId="0" applyFont="1" applyBorder="1" applyAlignment="1">
      <alignment horizontal="center"/>
    </xf>
    <xf numFmtId="0" fontId="20" fillId="0" borderId="0" xfId="0" applyFont="1" applyBorder="1" applyAlignment="1">
      <alignment horizontal="center"/>
    </xf>
    <xf numFmtId="0" fontId="8" fillId="0" borderId="0" xfId="0" applyFont="1" applyBorder="1" applyAlignment="1">
      <alignment horizontal="center"/>
    </xf>
    <xf numFmtId="0" fontId="8" fillId="0" borderId="20" xfId="0" applyFont="1" applyBorder="1" applyAlignment="1">
      <alignment horizontal="center"/>
    </xf>
    <xf numFmtId="0" fontId="7" fillId="0" borderId="0" xfId="0" applyFont="1" applyBorder="1" applyAlignment="1">
      <alignment horizontal="center"/>
    </xf>
    <xf numFmtId="0" fontId="72" fillId="0" borderId="20" xfId="0" applyFont="1" applyBorder="1" applyAlignment="1">
      <alignment horizontal="center" vertical="center"/>
    </xf>
    <xf numFmtId="0" fontId="102" fillId="0" borderId="0" xfId="6" applyFont="1" applyAlignment="1">
      <alignment horizontal="left"/>
    </xf>
    <xf numFmtId="0" fontId="81" fillId="0" borderId="0" xfId="0" applyFont="1" applyBorder="1" applyAlignment="1"/>
    <xf numFmtId="10" fontId="19" fillId="0" borderId="0" xfId="0" applyNumberFormat="1" applyFont="1"/>
    <xf numFmtId="0" fontId="8" fillId="0" borderId="0" xfId="0" applyFont="1" applyBorder="1" applyAlignment="1">
      <alignment horizontal="center"/>
    </xf>
    <xf numFmtId="0" fontId="106" fillId="0" borderId="0" xfId="0" applyFont="1" applyBorder="1" applyAlignment="1">
      <alignment vertical="center"/>
    </xf>
    <xf numFmtId="0" fontId="106" fillId="0" borderId="0" xfId="0" applyFont="1" applyBorder="1" applyAlignment="1">
      <alignment horizontal="center" vertical="center"/>
    </xf>
    <xf numFmtId="0" fontId="20" fillId="0" borderId="4" xfId="0" applyFont="1" applyBorder="1" applyAlignment="1">
      <alignment horizontal="center" vertical="center"/>
    </xf>
    <xf numFmtId="0" fontId="8" fillId="0" borderId="0" xfId="0" applyFont="1" applyBorder="1" applyAlignment="1">
      <alignment horizontal="center"/>
    </xf>
    <xf numFmtId="0" fontId="6" fillId="0" borderId="0" xfId="0" applyFont="1" applyBorder="1" applyAlignment="1">
      <alignment horizontal="justify" vertical="center"/>
    </xf>
    <xf numFmtId="0" fontId="107" fillId="0" borderId="4" xfId="0" applyFont="1" applyBorder="1" applyAlignment="1">
      <alignment horizontal="center" vertical="center"/>
    </xf>
    <xf numFmtId="3" fontId="6" fillId="0" borderId="1" xfId="0" applyNumberFormat="1" applyFont="1" applyBorder="1" applyAlignment="1"/>
    <xf numFmtId="164" fontId="8" fillId="0" borderId="0" xfId="0" applyNumberFormat="1" applyFont="1" applyBorder="1"/>
    <xf numFmtId="0" fontId="20" fillId="0" borderId="0" xfId="0" applyFont="1" applyBorder="1" applyAlignment="1">
      <alignment horizontal="center"/>
    </xf>
    <xf numFmtId="167" fontId="72" fillId="0" borderId="0" xfId="1" applyNumberFormat="1" applyFont="1" applyBorder="1" applyAlignment="1">
      <alignment horizontal="center"/>
    </xf>
    <xf numFmtId="167" fontId="71" fillId="0" borderId="66" xfId="1" applyNumberFormat="1" applyFont="1" applyBorder="1"/>
    <xf numFmtId="172" fontId="71" fillId="0" borderId="57" xfId="1" applyNumberFormat="1" applyFont="1" applyBorder="1" applyAlignment="1">
      <alignment horizontal="left"/>
    </xf>
    <xf numFmtId="17" fontId="19" fillId="0" borderId="9" xfId="0" quotePrefix="1" applyNumberFormat="1" applyFont="1" applyBorder="1" applyAlignment="1">
      <alignment horizontal="center"/>
    </xf>
    <xf numFmtId="17" fontId="20" fillId="0" borderId="0" xfId="0" applyNumberFormat="1" applyFont="1" applyBorder="1" applyAlignment="1">
      <alignment vertical="top"/>
    </xf>
    <xf numFmtId="169" fontId="21" fillId="0" borderId="0" xfId="1" applyNumberFormat="1" applyFont="1" applyBorder="1" applyAlignment="1"/>
    <xf numFmtId="0" fontId="20" fillId="0" borderId="0" xfId="0" applyFont="1" applyBorder="1" applyAlignment="1">
      <alignment horizontal="center"/>
    </xf>
    <xf numFmtId="0" fontId="8" fillId="0" borderId="0" xfId="0" applyFont="1" applyBorder="1" applyAlignment="1">
      <alignment horizontal="center"/>
    </xf>
    <xf numFmtId="0" fontId="71" fillId="0" borderId="23" xfId="0" applyFont="1" applyBorder="1" applyAlignment="1">
      <alignment vertical="center"/>
    </xf>
    <xf numFmtId="0" fontId="71" fillId="0" borderId="20" xfId="0" applyFont="1" applyBorder="1" applyAlignment="1">
      <alignment vertical="center"/>
    </xf>
    <xf numFmtId="0" fontId="71" fillId="0" borderId="24" xfId="0" applyFont="1" applyBorder="1" applyAlignment="1">
      <alignment vertical="center"/>
    </xf>
    <xf numFmtId="0" fontId="71" fillId="0" borderId="26" xfId="0" applyFont="1" applyBorder="1" applyAlignment="1">
      <alignment vertical="center"/>
    </xf>
    <xf numFmtId="0" fontId="71" fillId="0" borderId="0" xfId="0" applyFont="1" applyBorder="1" applyAlignment="1">
      <alignment vertical="center"/>
    </xf>
    <xf numFmtId="0" fontId="71" fillId="0" borderId="27" xfId="0" applyFont="1" applyBorder="1" applyAlignment="1">
      <alignment vertical="center"/>
    </xf>
    <xf numFmtId="167" fontId="19" fillId="0" borderId="4" xfId="1" quotePrefix="1" applyNumberFormat="1" applyFont="1" applyBorder="1"/>
    <xf numFmtId="167" fontId="23" fillId="0" borderId="14" xfId="1" applyNumberFormat="1" applyFont="1" applyBorder="1" applyAlignment="1"/>
    <xf numFmtId="167" fontId="23" fillId="0" borderId="4" xfId="1" applyNumberFormat="1" applyFont="1" applyBorder="1"/>
    <xf numFmtId="167" fontId="23" fillId="0" borderId="4" xfId="0" applyNumberFormat="1" applyFont="1" applyBorder="1" applyAlignment="1">
      <alignment horizontal="center"/>
    </xf>
    <xf numFmtId="167" fontId="23" fillId="0" borderId="60" xfId="0" applyNumberFormat="1" applyFont="1" applyBorder="1"/>
    <xf numFmtId="167" fontId="19" fillId="0" borderId="3" xfId="1" quotePrefix="1" applyNumberFormat="1" applyFont="1" applyBorder="1"/>
    <xf numFmtId="167" fontId="23" fillId="0" borderId="7" xfId="1" applyNumberFormat="1" applyFont="1" applyBorder="1" applyAlignment="1"/>
    <xf numFmtId="167" fontId="23" fillId="0" borderId="3" xfId="1" applyNumberFormat="1" applyFont="1" applyBorder="1"/>
    <xf numFmtId="167" fontId="23" fillId="0" borderId="3" xfId="0" applyNumberFormat="1" applyFont="1" applyBorder="1" applyAlignment="1">
      <alignment horizontal="center"/>
    </xf>
    <xf numFmtId="167" fontId="23" fillId="0" borderId="68" xfId="1" applyNumberFormat="1" applyFont="1" applyBorder="1"/>
    <xf numFmtId="167" fontId="23" fillId="0" borderId="67" xfId="0" applyNumberFormat="1" applyFont="1" applyBorder="1"/>
    <xf numFmtId="167" fontId="23" fillId="0" borderId="67" xfId="0" applyNumberFormat="1" applyFont="1" applyBorder="1" applyAlignment="1">
      <alignment horizontal="center"/>
    </xf>
    <xf numFmtId="167" fontId="23" fillId="0" borderId="69" xfId="0" applyNumberFormat="1" applyFont="1" applyBorder="1"/>
    <xf numFmtId="167" fontId="23" fillId="0" borderId="14" xfId="1" applyNumberFormat="1" applyFont="1" applyBorder="1"/>
    <xf numFmtId="167" fontId="23" fillId="0" borderId="4" xfId="0" applyNumberFormat="1" applyFont="1" applyBorder="1"/>
    <xf numFmtId="165" fontId="23" fillId="0" borderId="4" xfId="0" applyNumberFormat="1" applyFont="1" applyBorder="1" applyAlignment="1">
      <alignment horizontal="center"/>
    </xf>
    <xf numFmtId="173" fontId="23" fillId="0" borderId="4" xfId="0" applyNumberFormat="1" applyFont="1" applyBorder="1" applyAlignment="1">
      <alignment horizontal="center"/>
    </xf>
    <xf numFmtId="167" fontId="103" fillId="0" borderId="60" xfId="0" applyNumberFormat="1" applyFont="1" applyBorder="1"/>
    <xf numFmtId="167" fontId="20" fillId="0" borderId="4" xfId="1" applyNumberFormat="1" applyFont="1" applyBorder="1"/>
    <xf numFmtId="167" fontId="20" fillId="0" borderId="4" xfId="1" applyNumberFormat="1" applyFont="1" applyBorder="1" applyAlignment="1"/>
    <xf numFmtId="0" fontId="107" fillId="0" borderId="4" xfId="0" applyFont="1" applyBorder="1" applyAlignment="1">
      <alignment horizontal="center"/>
    </xf>
    <xf numFmtId="0" fontId="20" fillId="0" borderId="60" xfId="0" applyFont="1" applyBorder="1" applyAlignment="1">
      <alignment horizontal="center"/>
    </xf>
    <xf numFmtId="43" fontId="23" fillId="0" borderId="4" xfId="0" applyNumberFormat="1" applyFont="1" applyBorder="1"/>
    <xf numFmtId="167" fontId="71" fillId="0" borderId="67" xfId="1" applyNumberFormat="1" applyFont="1" applyBorder="1"/>
    <xf numFmtId="167" fontId="71" fillId="0" borderId="4" xfId="1" applyNumberFormat="1" applyFont="1" applyBorder="1"/>
    <xf numFmtId="167" fontId="72" fillId="0" borderId="8" xfId="1" applyNumberFormat="1" applyFont="1" applyBorder="1" applyAlignment="1">
      <alignment vertical="center"/>
    </xf>
    <xf numFmtId="164" fontId="27" fillId="0" borderId="0" xfId="2" applyFont="1"/>
    <xf numFmtId="0" fontId="7" fillId="0" borderId="3" xfId="0" applyFont="1" applyBorder="1" applyAlignment="1">
      <alignment horizontal="center"/>
    </xf>
    <xf numFmtId="167" fontId="72" fillId="0" borderId="0" xfId="1" applyNumberFormat="1" applyFont="1" applyBorder="1" applyAlignment="1">
      <alignment horizontal="center"/>
    </xf>
    <xf numFmtId="0" fontId="71" fillId="0" borderId="62" xfId="0" applyFont="1" applyBorder="1" applyAlignment="1">
      <alignment horizontal="center" vertical="center"/>
    </xf>
    <xf numFmtId="0" fontId="71" fillId="0" borderId="3" xfId="0" applyFont="1" applyBorder="1" applyAlignment="1">
      <alignment horizontal="center" vertical="center"/>
    </xf>
    <xf numFmtId="0" fontId="71" fillId="0" borderId="63" xfId="0" applyFont="1" applyBorder="1" applyAlignment="1">
      <alignment horizontal="center" vertical="center"/>
    </xf>
    <xf numFmtId="0" fontId="72" fillId="0" borderId="0" xfId="0" applyFont="1" applyBorder="1" applyAlignment="1">
      <alignment horizontal="center"/>
    </xf>
    <xf numFmtId="0" fontId="71" fillId="0" borderId="26" xfId="0" applyFont="1" applyBorder="1"/>
    <xf numFmtId="167" fontId="71" fillId="0" borderId="0" xfId="0" applyNumberFormat="1" applyFont="1" applyBorder="1"/>
    <xf numFmtId="0" fontId="72" fillId="0" borderId="21" xfId="0" applyFont="1" applyBorder="1" applyAlignment="1">
      <alignment horizontal="center"/>
    </xf>
    <xf numFmtId="1" fontId="72" fillId="0" borderId="0" xfId="1" applyNumberFormat="1" applyFont="1" applyBorder="1" applyAlignment="1">
      <alignment horizontal="center"/>
    </xf>
    <xf numFmtId="164" fontId="23" fillId="0" borderId="0" xfId="2" applyFont="1" applyBorder="1"/>
    <xf numFmtId="164" fontId="23" fillId="0" borderId="4" xfId="2" applyFont="1" applyBorder="1"/>
    <xf numFmtId="164" fontId="23" fillId="0" borderId="0" xfId="2" applyFont="1" applyBorder="1" applyAlignment="1">
      <alignment horizontal="center"/>
    </xf>
    <xf numFmtId="0" fontId="7" fillId="0" borderId="21" xfId="0" applyFont="1" applyBorder="1" applyAlignment="1">
      <alignment horizontal="center"/>
    </xf>
    <xf numFmtId="0" fontId="20" fillId="0" borderId="0" xfId="0" applyFont="1" applyBorder="1" applyAlignment="1">
      <alignment horizontal="center"/>
    </xf>
    <xf numFmtId="0" fontId="7" fillId="0" borderId="0" xfId="0" applyFont="1" applyBorder="1" applyAlignment="1">
      <alignment horizontal="center"/>
    </xf>
    <xf numFmtId="0" fontId="8" fillId="0" borderId="0" xfId="0" applyFont="1" applyBorder="1" applyAlignment="1">
      <alignment horizontal="center"/>
    </xf>
    <xf numFmtId="0" fontId="28" fillId="0" borderId="0" xfId="0" applyFont="1" applyBorder="1" applyAlignment="1"/>
    <xf numFmtId="0" fontId="28" fillId="0" borderId="4" xfId="0" applyFont="1" applyBorder="1" applyAlignment="1">
      <alignment horizontal="center" vertical="center"/>
    </xf>
    <xf numFmtId="0" fontId="107" fillId="0" borderId="0" xfId="0" applyFont="1" applyBorder="1" applyAlignment="1">
      <alignment horizontal="center" vertical="center"/>
    </xf>
    <xf numFmtId="0" fontId="20" fillId="0" borderId="0" xfId="0" applyFont="1" applyBorder="1" applyAlignment="1">
      <alignment horizontal="center" vertical="center"/>
    </xf>
    <xf numFmtId="0" fontId="108" fillId="0" borderId="1" xfId="0" applyFont="1" applyBorder="1" applyAlignment="1">
      <alignment vertical="top" wrapText="1"/>
    </xf>
    <xf numFmtId="0" fontId="5" fillId="0" borderId="8" xfId="0" applyFont="1" applyBorder="1" applyAlignment="1">
      <alignment vertical="top" wrapText="1"/>
    </xf>
    <xf numFmtId="14" fontId="42" fillId="0" borderId="0" xfId="0" applyNumberFormat="1" applyFont="1" applyBorder="1" applyAlignment="1">
      <alignment horizontal="right"/>
    </xf>
    <xf numFmtId="164" fontId="103" fillId="0" borderId="8" xfId="2" applyFont="1" applyBorder="1"/>
    <xf numFmtId="167" fontId="72" fillId="0" borderId="8" xfId="1" applyNumberFormat="1" applyFont="1" applyBorder="1" applyAlignment="1">
      <alignment horizontal="left"/>
    </xf>
    <xf numFmtId="167" fontId="72" fillId="0" borderId="8" xfId="1" applyNumberFormat="1" applyFont="1" applyBorder="1" applyAlignment="1"/>
    <xf numFmtId="167" fontId="72" fillId="0" borderId="8" xfId="1" applyNumberFormat="1" applyFont="1" applyBorder="1"/>
    <xf numFmtId="0" fontId="72" fillId="0" borderId="8" xfId="0" applyFont="1" applyBorder="1"/>
    <xf numFmtId="164" fontId="103" fillId="0" borderId="0" xfId="2" applyFont="1" applyBorder="1"/>
    <xf numFmtId="0" fontId="102" fillId="0" borderId="0" xfId="6" applyFont="1" applyAlignment="1">
      <alignment horizontal="left"/>
    </xf>
    <xf numFmtId="167" fontId="19" fillId="7" borderId="4" xfId="1" quotePrefix="1" applyNumberFormat="1" applyFont="1" applyFill="1" applyBorder="1"/>
    <xf numFmtId="0" fontId="19" fillId="0" borderId="9" xfId="0" quotePrefix="1" applyFont="1" applyBorder="1" applyAlignment="1">
      <alignment horizontal="center"/>
    </xf>
    <xf numFmtId="0" fontId="20" fillId="0" borderId="4" xfId="0" applyFont="1" applyBorder="1" applyAlignment="1">
      <alignment horizontal="center" vertical="center"/>
    </xf>
    <xf numFmtId="0" fontId="7" fillId="0" borderId="0" xfId="0" applyFont="1" applyBorder="1" applyAlignment="1">
      <alignment horizontal="center"/>
    </xf>
    <xf numFmtId="0" fontId="8" fillId="0" borderId="0" xfId="0" applyFont="1" applyBorder="1" applyAlignment="1">
      <alignment horizontal="center"/>
    </xf>
    <xf numFmtId="0" fontId="20" fillId="0" borderId="4" xfId="0" applyFont="1" applyBorder="1" applyAlignment="1">
      <alignment horizontal="center" vertical="center"/>
    </xf>
    <xf numFmtId="0" fontId="72" fillId="0" borderId="0" xfId="0" applyFont="1" applyBorder="1" applyAlignment="1">
      <alignment horizontal="center" vertical="center"/>
    </xf>
    <xf numFmtId="167" fontId="6" fillId="0" borderId="1" xfId="2" applyNumberFormat="1" applyFont="1" applyBorder="1"/>
    <xf numFmtId="0" fontId="0" fillId="10" borderId="14" xfId="0" applyFill="1" applyBorder="1" applyAlignment="1">
      <alignment horizontal="center"/>
    </xf>
    <xf numFmtId="0" fontId="0" fillId="10" borderId="16" xfId="0" applyFill="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8" fillId="0" borderId="13" xfId="0" applyFont="1" applyBorder="1" applyAlignment="1">
      <alignment horizontal="center"/>
    </xf>
    <xf numFmtId="0" fontId="20" fillId="0" borderId="7" xfId="0" applyFont="1" applyBorder="1" applyAlignment="1">
      <alignment horizontal="center"/>
    </xf>
    <xf numFmtId="0" fontId="20" fillId="0" borderId="8" xfId="0" applyFont="1" applyBorder="1" applyAlignment="1">
      <alignment horizontal="center"/>
    </xf>
    <xf numFmtId="0" fontId="20" fillId="0" borderId="13" xfId="0" applyFont="1" applyBorder="1" applyAlignment="1">
      <alignment horizontal="center"/>
    </xf>
    <xf numFmtId="0" fontId="10" fillId="0" borderId="0" xfId="0" applyFont="1" applyBorder="1" applyAlignment="1">
      <alignment horizontal="center"/>
    </xf>
    <xf numFmtId="0" fontId="19" fillId="0" borderId="0" xfId="0" applyFont="1" applyBorder="1" applyAlignment="1">
      <alignment horizontal="left" wrapText="1"/>
    </xf>
    <xf numFmtId="0" fontId="19" fillId="0" borderId="1" xfId="0" applyFont="1" applyBorder="1" applyAlignment="1">
      <alignment horizontal="left" wrapText="1"/>
    </xf>
    <xf numFmtId="0" fontId="37" fillId="0" borderId="0" xfId="0" applyFont="1" applyBorder="1" applyAlignment="1">
      <alignment horizontal="left"/>
    </xf>
    <xf numFmtId="0" fontId="40" fillId="0" borderId="0" xfId="0" applyFont="1" applyBorder="1" applyAlignment="1">
      <alignment horizontal="center"/>
    </xf>
    <xf numFmtId="0" fontId="7" fillId="0" borderId="21" xfId="0" applyFont="1" applyBorder="1" applyAlignment="1">
      <alignment horizontal="center"/>
    </xf>
    <xf numFmtId="0" fontId="20" fillId="0" borderId="0" xfId="0" applyFont="1" applyBorder="1" applyAlignment="1">
      <alignment horizontal="center"/>
    </xf>
    <xf numFmtId="0" fontId="7" fillId="0" borderId="0" xfId="0" applyFont="1" applyBorder="1" applyAlignment="1">
      <alignment horizontal="center"/>
    </xf>
    <xf numFmtId="0" fontId="8" fillId="0" borderId="0" xfId="0" applyFont="1" applyBorder="1" applyAlignment="1">
      <alignment horizontal="center"/>
    </xf>
    <xf numFmtId="0" fontId="8" fillId="0" borderId="20" xfId="0" applyFont="1" applyBorder="1" applyAlignment="1">
      <alignment horizontal="center"/>
    </xf>
    <xf numFmtId="0" fontId="28" fillId="0" borderId="0" xfId="0" applyFont="1" applyBorder="1" applyAlignment="1">
      <alignment horizontal="center"/>
    </xf>
    <xf numFmtId="0" fontId="10" fillId="0" borderId="20" xfId="0" applyFont="1" applyBorder="1" applyAlignment="1">
      <alignment horizontal="center"/>
    </xf>
    <xf numFmtId="0" fontId="5" fillId="0" borderId="7" xfId="0" applyFont="1" applyBorder="1" applyAlignment="1">
      <alignment horizontal="justify" vertical="center" wrapText="1"/>
    </xf>
    <xf numFmtId="0" fontId="5" fillId="0" borderId="8" xfId="0" applyFont="1" applyBorder="1" applyAlignment="1">
      <alignment horizontal="justify" vertical="center" wrapText="1"/>
    </xf>
    <xf numFmtId="0" fontId="5" fillId="0" borderId="13" xfId="0" applyFont="1" applyBorder="1" applyAlignment="1">
      <alignment horizontal="justify" vertical="center" wrapText="1"/>
    </xf>
    <xf numFmtId="0" fontId="5" fillId="0" borderId="9" xfId="0" applyFont="1" applyBorder="1" applyAlignment="1">
      <alignment horizontal="justify" vertical="center" wrapText="1"/>
    </xf>
    <xf numFmtId="0" fontId="5" fillId="0" borderId="0" xfId="0" applyFont="1" applyBorder="1" applyAlignment="1">
      <alignment horizontal="justify" vertical="center" wrapText="1"/>
    </xf>
    <xf numFmtId="0" fontId="5" fillId="0" borderId="11" xfId="0" applyFont="1" applyBorder="1" applyAlignment="1">
      <alignment horizontal="justify" vertical="center" wrapText="1"/>
    </xf>
    <xf numFmtId="0" fontId="5" fillId="0" borderId="10" xfId="0" applyFont="1" applyBorder="1" applyAlignment="1">
      <alignment horizontal="justify" vertical="center" wrapText="1"/>
    </xf>
    <xf numFmtId="0" fontId="5" fillId="0" borderId="1" xfId="0" applyFont="1" applyBorder="1" applyAlignment="1">
      <alignment horizontal="justify" vertical="center" wrapText="1"/>
    </xf>
    <xf numFmtId="0" fontId="5" fillId="0" borderId="12" xfId="0" applyFont="1" applyBorder="1" applyAlignment="1">
      <alignment horizontal="justify" vertical="center" wrapText="1"/>
    </xf>
    <xf numFmtId="0" fontId="5" fillId="0" borderId="7" xfId="0" applyFont="1" applyBorder="1" applyAlignment="1">
      <alignment horizontal="justify" vertical="top" wrapText="1"/>
    </xf>
    <xf numFmtId="0" fontId="5" fillId="0" borderId="8" xfId="0" applyFont="1" applyBorder="1" applyAlignment="1">
      <alignment horizontal="justify" vertical="top" wrapText="1"/>
    </xf>
    <xf numFmtId="0" fontId="5" fillId="0" borderId="13" xfId="0" applyFont="1" applyBorder="1" applyAlignment="1">
      <alignment horizontal="justify" vertical="top" wrapText="1"/>
    </xf>
    <xf numFmtId="0" fontId="5" fillId="0" borderId="9" xfId="0" applyFont="1" applyBorder="1" applyAlignment="1">
      <alignment horizontal="justify" vertical="top" wrapText="1"/>
    </xf>
    <xf numFmtId="0" fontId="5" fillId="0" borderId="0" xfId="0" applyFont="1" applyBorder="1" applyAlignment="1">
      <alignment horizontal="justify" vertical="top" wrapText="1"/>
    </xf>
    <xf numFmtId="0" fontId="5" fillId="0" borderId="11" xfId="0" applyFont="1" applyBorder="1" applyAlignment="1">
      <alignment horizontal="justify" vertical="top" wrapText="1"/>
    </xf>
    <xf numFmtId="0" fontId="5" fillId="0" borderId="10" xfId="0" applyFont="1" applyBorder="1" applyAlignment="1">
      <alignment horizontal="justify" vertical="top" wrapText="1"/>
    </xf>
    <xf numFmtId="0" fontId="5" fillId="0" borderId="1" xfId="0" applyFont="1" applyBorder="1" applyAlignment="1">
      <alignment horizontal="justify" vertical="top" wrapText="1"/>
    </xf>
    <xf numFmtId="0" fontId="5" fillId="0" borderId="12" xfId="0" applyFont="1" applyBorder="1" applyAlignment="1">
      <alignment horizontal="justify" vertical="top" wrapText="1"/>
    </xf>
    <xf numFmtId="0" fontId="40" fillId="0" borderId="20" xfId="0" applyFont="1" applyBorder="1" applyAlignment="1">
      <alignment horizontal="center"/>
    </xf>
    <xf numFmtId="0" fontId="19" fillId="0" borderId="14" xfId="0" applyFont="1" applyBorder="1" applyAlignment="1">
      <alignment horizontal="center"/>
    </xf>
    <xf numFmtId="0" fontId="19" fillId="0" borderId="2" xfId="0" applyFont="1" applyBorder="1" applyAlignment="1">
      <alignment horizontal="center"/>
    </xf>
    <xf numFmtId="0" fontId="19" fillId="0" borderId="16" xfId="0" applyFont="1" applyBorder="1" applyAlignment="1">
      <alignment horizontal="center"/>
    </xf>
    <xf numFmtId="0" fontId="19" fillId="0" borderId="14" xfId="0" applyFont="1" applyBorder="1" applyAlignment="1">
      <alignment horizontal="justify" vertical="center"/>
    </xf>
    <xf numFmtId="0" fontId="19" fillId="0" borderId="2" xfId="0" applyFont="1" applyBorder="1" applyAlignment="1">
      <alignment horizontal="justify" vertical="center"/>
    </xf>
    <xf numFmtId="0" fontId="19" fillId="0" borderId="16" xfId="0" applyFont="1" applyBorder="1" applyAlignment="1">
      <alignment horizontal="justify" vertical="center"/>
    </xf>
    <xf numFmtId="0" fontId="6" fillId="0" borderId="8" xfId="0" applyFont="1" applyBorder="1" applyAlignment="1">
      <alignment horizontal="justify" vertical="center"/>
    </xf>
    <xf numFmtId="0" fontId="6" fillId="0" borderId="13" xfId="0" applyFont="1" applyBorder="1" applyAlignment="1">
      <alignment horizontal="justify" vertical="center"/>
    </xf>
    <xf numFmtId="0" fontId="6" fillId="0" borderId="9" xfId="0" applyFont="1" applyBorder="1" applyAlignment="1">
      <alignment horizontal="justify" vertical="center"/>
    </xf>
    <xf numFmtId="0" fontId="6" fillId="0" borderId="0" xfId="0" applyFont="1" applyBorder="1" applyAlignment="1">
      <alignment horizontal="justify" vertical="center"/>
    </xf>
    <xf numFmtId="0" fontId="6" fillId="0" borderId="11" xfId="0" applyFont="1" applyBorder="1" applyAlignment="1">
      <alignment horizontal="justify" vertical="center"/>
    </xf>
    <xf numFmtId="0" fontId="6" fillId="0" borderId="10" xfId="0" applyFont="1" applyBorder="1" applyAlignment="1">
      <alignment horizontal="justify" vertical="center"/>
    </xf>
    <xf numFmtId="0" fontId="6" fillId="0" borderId="1" xfId="0" applyFont="1" applyBorder="1" applyAlignment="1">
      <alignment horizontal="justify" vertical="center"/>
    </xf>
    <xf numFmtId="0" fontId="6" fillId="0" borderId="12" xfId="0" applyFont="1" applyBorder="1" applyAlignment="1">
      <alignment horizontal="justify" vertical="center"/>
    </xf>
    <xf numFmtId="0" fontId="10" fillId="0" borderId="0" xfId="0" applyFont="1" applyAlignment="1">
      <alignment horizontal="center"/>
    </xf>
    <xf numFmtId="0" fontId="32" fillId="0" borderId="1" xfId="0" applyFont="1" applyBorder="1" applyAlignment="1">
      <alignment horizontal="center"/>
    </xf>
    <xf numFmtId="0" fontId="31" fillId="0" borderId="7" xfId="0" applyFont="1" applyBorder="1" applyAlignment="1">
      <alignment horizontal="center"/>
    </xf>
    <xf numFmtId="0" fontId="31" fillId="0" borderId="8" xfId="0" applyFont="1" applyBorder="1" applyAlignment="1">
      <alignment horizontal="center"/>
    </xf>
    <xf numFmtId="0" fontId="31" fillId="0" borderId="13" xfId="0" applyFont="1" applyBorder="1" applyAlignment="1">
      <alignment horizontal="center"/>
    </xf>
    <xf numFmtId="0" fontId="31" fillId="0" borderId="9" xfId="0" applyFont="1" applyBorder="1" applyAlignment="1">
      <alignment horizontal="center"/>
    </xf>
    <xf numFmtId="0" fontId="31" fillId="0" borderId="0" xfId="0" applyFont="1" applyBorder="1" applyAlignment="1">
      <alignment horizontal="center"/>
    </xf>
    <xf numFmtId="0" fontId="31" fillId="0" borderId="11" xfId="0" applyFont="1" applyBorder="1" applyAlignment="1">
      <alignment horizontal="center"/>
    </xf>
    <xf numFmtId="0" fontId="31" fillId="0" borderId="10" xfId="0" applyFont="1" applyBorder="1" applyAlignment="1">
      <alignment horizontal="center"/>
    </xf>
    <xf numFmtId="0" fontId="31" fillId="0" borderId="1" xfId="0" applyFont="1" applyBorder="1" applyAlignment="1">
      <alignment horizontal="center"/>
    </xf>
    <xf numFmtId="0" fontId="31" fillId="0" borderId="12" xfId="0" applyFont="1" applyBorder="1" applyAlignment="1">
      <alignment horizontal="center"/>
    </xf>
    <xf numFmtId="1" fontId="31" fillId="0" borderId="1" xfId="0" applyNumberFormat="1" applyFont="1" applyBorder="1" applyAlignment="1">
      <alignment horizontal="left"/>
    </xf>
    <xf numFmtId="0" fontId="31" fillId="0" borderId="4" xfId="0" applyFont="1" applyBorder="1" applyAlignment="1">
      <alignment horizontal="center"/>
    </xf>
    <xf numFmtId="0" fontId="0" fillId="0" borderId="4" xfId="0" applyBorder="1"/>
    <xf numFmtId="0" fontId="31" fillId="0" borderId="0" xfId="0" applyFont="1" applyAlignment="1">
      <alignment horizontal="left" vertical="center"/>
    </xf>
    <xf numFmtId="0" fontId="38" fillId="0" borderId="17" xfId="0" applyFont="1" applyBorder="1" applyAlignment="1">
      <alignment horizontal="center"/>
    </xf>
    <xf numFmtId="0" fontId="38" fillId="0" borderId="18" xfId="0" applyFont="1" applyBorder="1" applyAlignment="1">
      <alignment horizontal="center"/>
    </xf>
    <xf numFmtId="0" fontId="38" fillId="0" borderId="19" xfId="0" applyFont="1" applyBorder="1" applyAlignment="1">
      <alignment horizontal="center"/>
    </xf>
    <xf numFmtId="0" fontId="31" fillId="0" borderId="20" xfId="0" applyFont="1" applyBorder="1" applyAlignment="1">
      <alignment horizontal="left"/>
    </xf>
    <xf numFmtId="0" fontId="31" fillId="0" borderId="3" xfId="0" applyFont="1" applyBorder="1" applyAlignment="1">
      <alignment horizontal="center" vertical="center"/>
    </xf>
    <xf numFmtId="0" fontId="31" fillId="0" borderId="6" xfId="0" applyFont="1" applyBorder="1" applyAlignment="1">
      <alignment horizontal="center" vertical="center"/>
    </xf>
    <xf numFmtId="0" fontId="31" fillId="0" borderId="7" xfId="0" applyFont="1" applyBorder="1" applyAlignment="1">
      <alignment horizontal="center" vertical="center"/>
    </xf>
    <xf numFmtId="0" fontId="31" fillId="0" borderId="13" xfId="0" applyFont="1" applyBorder="1" applyAlignment="1">
      <alignment horizontal="center" vertical="center"/>
    </xf>
    <xf numFmtId="0" fontId="31" fillId="0" borderId="10" xfId="0" applyFont="1" applyBorder="1" applyAlignment="1">
      <alignment horizontal="center" vertical="center"/>
    </xf>
    <xf numFmtId="0" fontId="31" fillId="0" borderId="12" xfId="0" applyFont="1" applyBorder="1" applyAlignment="1">
      <alignment horizontal="center" vertical="center"/>
    </xf>
    <xf numFmtId="0" fontId="31" fillId="0" borderId="0" xfId="0" applyFont="1" applyAlignment="1">
      <alignment horizontal="left"/>
    </xf>
    <xf numFmtId="0" fontId="31" fillId="0" borderId="1" xfId="0" applyFont="1" applyBorder="1" applyAlignment="1">
      <alignment horizontal="left"/>
    </xf>
    <xf numFmtId="0" fontId="31" fillId="0" borderId="2" xfId="0" applyFont="1" applyBorder="1" applyAlignment="1">
      <alignment horizontal="left"/>
    </xf>
    <xf numFmtId="0" fontId="39" fillId="0" borderId="0" xfId="0" applyFont="1" applyAlignment="1">
      <alignment horizontal="center"/>
    </xf>
    <xf numFmtId="0" fontId="31" fillId="0" borderId="0" xfId="0" applyFont="1" applyBorder="1" applyAlignment="1">
      <alignment horizontal="left"/>
    </xf>
    <xf numFmtId="0" fontId="32" fillId="0" borderId="0" xfId="0" applyFont="1" applyAlignment="1">
      <alignment horizontal="center"/>
    </xf>
    <xf numFmtId="0" fontId="72" fillId="0" borderId="0" xfId="0" applyFont="1" applyBorder="1" applyAlignment="1">
      <alignment horizontal="center" vertical="center"/>
    </xf>
    <xf numFmtId="167" fontId="71" fillId="0" borderId="0" xfId="1" applyNumberFormat="1" applyFont="1" applyBorder="1" applyAlignment="1">
      <alignment horizontal="center" vertical="center"/>
    </xf>
    <xf numFmtId="0" fontId="23" fillId="0" borderId="21" xfId="0" applyFont="1" applyBorder="1" applyAlignment="1">
      <alignment horizontal="left"/>
    </xf>
    <xf numFmtId="0" fontId="37" fillId="0" borderId="21" xfId="0" applyFont="1" applyBorder="1" applyAlignment="1">
      <alignment horizontal="left"/>
    </xf>
    <xf numFmtId="0" fontId="40" fillId="0" borderId="23" xfId="0" applyFont="1" applyBorder="1" applyAlignment="1">
      <alignment horizontal="center" vertical="center"/>
    </xf>
    <xf numFmtId="0" fontId="40" fillId="0" borderId="20" xfId="0" applyFont="1" applyBorder="1" applyAlignment="1">
      <alignment horizontal="center" vertical="center"/>
    </xf>
    <xf numFmtId="0" fontId="40" fillId="0" borderId="24" xfId="0" applyFont="1" applyBorder="1" applyAlignment="1">
      <alignment horizontal="center" vertical="center"/>
    </xf>
    <xf numFmtId="0" fontId="40" fillId="0" borderId="37" xfId="0" applyFont="1" applyBorder="1" applyAlignment="1">
      <alignment horizontal="center" vertical="center"/>
    </xf>
    <xf numFmtId="0" fontId="40" fillId="0" borderId="21" xfId="0" applyFont="1" applyBorder="1" applyAlignment="1">
      <alignment horizontal="center" vertical="center"/>
    </xf>
    <xf numFmtId="0" fontId="40" fillId="0" borderId="38" xfId="0" applyFont="1" applyBorder="1" applyAlignment="1">
      <alignment horizontal="center" vertical="center"/>
    </xf>
    <xf numFmtId="0" fontId="71" fillId="0" borderId="23" xfId="0" applyFont="1" applyBorder="1" applyAlignment="1">
      <alignment horizontal="center" vertical="center"/>
    </xf>
    <xf numFmtId="0" fontId="71" fillId="0" borderId="20" xfId="0" applyFont="1" applyBorder="1" applyAlignment="1">
      <alignment horizontal="center" vertical="center"/>
    </xf>
    <xf numFmtId="0" fontId="71" fillId="0" borderId="24" xfId="0" applyFont="1" applyBorder="1" applyAlignment="1">
      <alignment horizontal="center" vertical="center"/>
    </xf>
    <xf numFmtId="167" fontId="23" fillId="0" borderId="4" xfId="1" applyNumberFormat="1" applyFont="1" applyBorder="1" applyAlignment="1">
      <alignment horizontal="center"/>
    </xf>
    <xf numFmtId="167" fontId="23" fillId="0" borderId="3" xfId="1" applyNumberFormat="1" applyFont="1" applyBorder="1" applyAlignment="1">
      <alignment horizontal="center"/>
    </xf>
    <xf numFmtId="167" fontId="23" fillId="0" borderId="67" xfId="1" applyNumberFormat="1" applyFont="1" applyBorder="1" applyAlignment="1">
      <alignment horizontal="center"/>
    </xf>
    <xf numFmtId="167" fontId="20" fillId="0" borderId="4" xfId="1" applyNumberFormat="1" applyFont="1" applyBorder="1" applyAlignment="1">
      <alignment horizontal="center"/>
    </xf>
    <xf numFmtId="0" fontId="71" fillId="0" borderId="1" xfId="0" applyFont="1" applyBorder="1" applyAlignment="1">
      <alignment horizontal="center"/>
    </xf>
    <xf numFmtId="0" fontId="72" fillId="0" borderId="23" xfId="0" applyFont="1" applyBorder="1" applyAlignment="1">
      <alignment horizontal="center" vertical="center"/>
    </xf>
    <xf numFmtId="0" fontId="72" fillId="0" borderId="37" xfId="0" applyFont="1" applyBorder="1" applyAlignment="1">
      <alignment horizontal="center" vertical="center"/>
    </xf>
    <xf numFmtId="167" fontId="71" fillId="0" borderId="20" xfId="1" applyNumberFormat="1" applyFont="1" applyBorder="1" applyAlignment="1">
      <alignment horizontal="center" vertical="center"/>
    </xf>
    <xf numFmtId="167" fontId="71" fillId="0" borderId="24" xfId="1" applyNumberFormat="1" applyFont="1" applyBorder="1" applyAlignment="1">
      <alignment horizontal="center" vertical="center"/>
    </xf>
    <xf numFmtId="167" fontId="71" fillId="0" borderId="21" xfId="1" applyNumberFormat="1" applyFont="1" applyBorder="1" applyAlignment="1">
      <alignment horizontal="center" vertical="center"/>
    </xf>
    <xf numFmtId="167" fontId="71" fillId="0" borderId="38" xfId="1" applyNumberFormat="1" applyFont="1" applyBorder="1" applyAlignment="1">
      <alignment horizontal="center" vertical="center"/>
    </xf>
    <xf numFmtId="0" fontId="72" fillId="0" borderId="20" xfId="0" applyFont="1" applyBorder="1" applyAlignment="1">
      <alignment horizontal="center" vertical="center"/>
    </xf>
    <xf numFmtId="0" fontId="72" fillId="0" borderId="21" xfId="0" applyFont="1" applyBorder="1" applyAlignment="1">
      <alignment horizontal="center" vertical="center"/>
    </xf>
    <xf numFmtId="0" fontId="71" fillId="0" borderId="37" xfId="0" applyFont="1" applyBorder="1" applyAlignment="1">
      <alignment horizontal="center" vertical="center"/>
    </xf>
    <xf numFmtId="0" fontId="71" fillId="0" borderId="21" xfId="0" applyFont="1" applyBorder="1" applyAlignment="1">
      <alignment horizontal="center" vertical="center"/>
    </xf>
    <xf numFmtId="0" fontId="71" fillId="0" borderId="38" xfId="0" applyFont="1" applyBorder="1" applyAlignment="1">
      <alignment horizontal="center" vertical="center"/>
    </xf>
    <xf numFmtId="167" fontId="72" fillId="0" borderId="0" xfId="1" applyNumberFormat="1" applyFont="1" applyBorder="1" applyAlignment="1">
      <alignment horizontal="center"/>
    </xf>
    <xf numFmtId="0" fontId="20" fillId="0" borderId="18" xfId="0" applyFont="1" applyBorder="1" applyAlignment="1">
      <alignment horizontal="center"/>
    </xf>
    <xf numFmtId="0" fontId="19" fillId="0" borderId="4" xfId="0" applyFont="1" applyBorder="1" applyAlignment="1">
      <alignment horizontal="left"/>
    </xf>
    <xf numFmtId="0" fontId="20" fillId="0" borderId="4" xfId="0" applyFont="1" applyBorder="1" applyAlignment="1">
      <alignment horizontal="center" vertical="center"/>
    </xf>
    <xf numFmtId="164" fontId="23" fillId="0" borderId="4" xfId="2" applyFont="1" applyBorder="1" applyAlignment="1">
      <alignment horizontal="center"/>
    </xf>
    <xf numFmtId="0" fontId="20" fillId="0" borderId="14" xfId="0" applyFont="1" applyBorder="1" applyAlignment="1">
      <alignment horizontal="center"/>
    </xf>
    <xf numFmtId="0" fontId="20" fillId="0" borderId="2" xfId="0" applyFont="1" applyBorder="1" applyAlignment="1">
      <alignment horizontal="center"/>
    </xf>
    <xf numFmtId="0" fontId="20" fillId="0" borderId="16" xfId="0" applyFont="1" applyBorder="1" applyAlignment="1">
      <alignment horizontal="center"/>
    </xf>
    <xf numFmtId="0" fontId="43" fillId="0" borderId="0" xfId="0" applyFont="1" applyAlignment="1">
      <alignment horizontal="left"/>
    </xf>
    <xf numFmtId="0" fontId="63" fillId="5" borderId="51" xfId="0" applyFont="1" applyFill="1" applyBorder="1" applyAlignment="1">
      <alignment horizontal="center" vertical="center"/>
    </xf>
    <xf numFmtId="0" fontId="63" fillId="5" borderId="4" xfId="0" applyFont="1" applyFill="1" applyBorder="1" applyAlignment="1">
      <alignment horizontal="center" vertical="center"/>
    </xf>
    <xf numFmtId="0" fontId="63" fillId="6" borderId="51" xfId="0" applyFont="1" applyFill="1" applyBorder="1" applyAlignment="1">
      <alignment horizontal="center" vertical="center"/>
    </xf>
    <xf numFmtId="0" fontId="54" fillId="0" borderId="23" xfId="0" applyFont="1" applyBorder="1" applyAlignment="1">
      <alignment horizontal="left"/>
    </xf>
    <xf numFmtId="0" fontId="54" fillId="0" borderId="20" xfId="0" applyFont="1" applyBorder="1" applyAlignment="1">
      <alignment horizontal="left"/>
    </xf>
    <xf numFmtId="0" fontId="63" fillId="0" borderId="35" xfId="0" applyFont="1" applyBorder="1" applyAlignment="1">
      <alignment horizontal="center" vertical="center"/>
    </xf>
    <xf numFmtId="0" fontId="63" fillId="0" borderId="1" xfId="0" applyFont="1" applyBorder="1" applyAlignment="1">
      <alignment horizontal="center" vertical="center"/>
    </xf>
    <xf numFmtId="167" fontId="63" fillId="0" borderId="35" xfId="1" applyNumberFormat="1" applyFont="1" applyBorder="1" applyAlignment="1">
      <alignment horizontal="center" vertical="center"/>
    </xf>
    <xf numFmtId="167" fontId="63" fillId="0" borderId="1" xfId="1" applyNumberFormat="1" applyFont="1" applyBorder="1" applyAlignment="1">
      <alignment horizontal="center" vertical="center"/>
    </xf>
    <xf numFmtId="164" fontId="63" fillId="0" borderId="36" xfId="0" applyNumberFormat="1" applyFont="1" applyBorder="1" applyAlignment="1">
      <alignment horizontal="center" vertical="center"/>
    </xf>
    <xf numFmtId="164" fontId="63" fillId="0" borderId="8" xfId="0" applyNumberFormat="1" applyFont="1" applyBorder="1" applyAlignment="1">
      <alignment horizontal="center" vertical="center"/>
    </xf>
    <xf numFmtId="0" fontId="63" fillId="0" borderId="26" xfId="0" applyFont="1" applyBorder="1" applyAlignment="1">
      <alignment horizontal="center"/>
    </xf>
    <xf numFmtId="0" fontId="63" fillId="0" borderId="0" xfId="0" applyFont="1" applyBorder="1" applyAlignment="1">
      <alignment horizontal="center"/>
    </xf>
    <xf numFmtId="0" fontId="63" fillId="0" borderId="27" xfId="0" applyFont="1" applyBorder="1" applyAlignment="1">
      <alignment horizontal="center"/>
    </xf>
    <xf numFmtId="2" fontId="63" fillId="0" borderId="26" xfId="0" applyNumberFormat="1" applyFont="1" applyBorder="1" applyAlignment="1">
      <alignment horizontal="center"/>
    </xf>
    <xf numFmtId="2" fontId="63" fillId="0" borderId="0" xfId="0" applyNumberFormat="1" applyFont="1" applyBorder="1" applyAlignment="1">
      <alignment horizontal="center"/>
    </xf>
    <xf numFmtId="2" fontId="63" fillId="0" borderId="27" xfId="0" applyNumberFormat="1" applyFont="1" applyBorder="1" applyAlignment="1">
      <alignment horizontal="center"/>
    </xf>
    <xf numFmtId="0" fontId="75" fillId="0" borderId="23" xfId="0" applyFont="1" applyBorder="1" applyAlignment="1">
      <alignment horizontal="left"/>
    </xf>
    <xf numFmtId="0" fontId="75" fillId="0" borderId="20" xfId="0" applyFont="1" applyBorder="1" applyAlignment="1">
      <alignment horizontal="left"/>
    </xf>
    <xf numFmtId="37" fontId="63" fillId="0" borderId="1" xfId="0" applyNumberFormat="1" applyFont="1" applyBorder="1" applyAlignment="1">
      <alignment horizontal="right"/>
    </xf>
    <xf numFmtId="37" fontId="58" fillId="0" borderId="36" xfId="0" applyNumberFormat="1" applyFont="1" applyFill="1" applyBorder="1" applyAlignment="1">
      <alignment horizontal="center" wrapText="1" readingOrder="1"/>
    </xf>
    <xf numFmtId="37" fontId="58" fillId="0" borderId="8" xfId="0" applyNumberFormat="1" applyFont="1" applyFill="1" applyBorder="1" applyAlignment="1">
      <alignment horizontal="center" wrapText="1" readingOrder="1"/>
    </xf>
    <xf numFmtId="167" fontId="63" fillId="0" borderId="8" xfId="1" applyNumberFormat="1" applyFont="1" applyBorder="1" applyAlignment="1">
      <alignment horizontal="center"/>
    </xf>
    <xf numFmtId="0" fontId="43" fillId="0" borderId="0" xfId="0" applyFont="1" applyBorder="1" applyAlignment="1">
      <alignment horizontal="left"/>
    </xf>
    <xf numFmtId="0" fontId="83" fillId="7" borderId="50" xfId="0" applyFont="1" applyFill="1" applyBorder="1" applyAlignment="1">
      <alignment horizontal="center" vertical="center"/>
    </xf>
    <xf numFmtId="0" fontId="83" fillId="7" borderId="49" xfId="0" applyFont="1" applyFill="1" applyBorder="1" applyAlignment="1">
      <alignment horizontal="center" vertical="center"/>
    </xf>
    <xf numFmtId="0" fontId="63" fillId="0" borderId="35" xfId="0" applyFont="1" applyBorder="1" applyAlignment="1">
      <alignment horizontal="center"/>
    </xf>
    <xf numFmtId="0" fontId="63" fillId="0" borderId="1" xfId="0" applyFont="1" applyBorder="1" applyAlignment="1">
      <alignment horizontal="center"/>
    </xf>
    <xf numFmtId="164" fontId="63" fillId="0" borderId="1" xfId="0" applyNumberFormat="1" applyFont="1" applyBorder="1" applyAlignment="1">
      <alignment horizontal="center" vertical="center"/>
    </xf>
    <xf numFmtId="0" fontId="63" fillId="0" borderId="36" xfId="0" applyFont="1" applyBorder="1" applyAlignment="1">
      <alignment horizontal="center" vertical="top"/>
    </xf>
    <xf numFmtId="0" fontId="63" fillId="0" borderId="8" xfId="0" applyFont="1" applyBorder="1" applyAlignment="1">
      <alignment horizontal="center" vertical="top"/>
    </xf>
    <xf numFmtId="0" fontId="63" fillId="0" borderId="26" xfId="0" applyFont="1" applyBorder="1" applyAlignment="1">
      <alignment horizontal="center" vertical="top"/>
    </xf>
    <xf numFmtId="0" fontId="63" fillId="0" borderId="0" xfId="0" applyFont="1" applyBorder="1" applyAlignment="1">
      <alignment horizontal="center" vertical="top"/>
    </xf>
    <xf numFmtId="167" fontId="63" fillId="0" borderId="8" xfId="1" applyNumberFormat="1" applyFont="1" applyBorder="1" applyAlignment="1">
      <alignment horizontal="center" vertical="center"/>
    </xf>
    <xf numFmtId="0" fontId="63" fillId="0" borderId="4" xfId="0" applyFont="1" applyBorder="1" applyAlignment="1">
      <alignment horizontal="center" vertical="center"/>
    </xf>
    <xf numFmtId="0" fontId="92" fillId="0" borderId="3" xfId="0" applyFont="1" applyBorder="1" applyAlignment="1">
      <alignment horizontal="center" vertical="center" wrapText="1"/>
    </xf>
    <xf numFmtId="0" fontId="92" fillId="0" borderId="5" xfId="0" applyFont="1" applyBorder="1" applyAlignment="1">
      <alignment horizontal="center" vertical="center" wrapText="1"/>
    </xf>
    <xf numFmtId="0" fontId="92" fillId="0" borderId="6" xfId="0" applyFont="1" applyBorder="1" applyAlignment="1">
      <alignment horizontal="center" vertical="center" wrapText="1"/>
    </xf>
    <xf numFmtId="0" fontId="37" fillId="0" borderId="0" xfId="0" applyFont="1" applyAlignment="1">
      <alignment horizontal="left"/>
    </xf>
    <xf numFmtId="0" fontId="91" fillId="0" borderId="14" xfId="0" applyFont="1" applyBorder="1" applyAlignment="1">
      <alignment horizontal="center"/>
    </xf>
    <xf numFmtId="0" fontId="91" fillId="0" borderId="16" xfId="0" applyFont="1" applyBorder="1" applyAlignment="1">
      <alignment horizontal="center"/>
    </xf>
    <xf numFmtId="10" fontId="44" fillId="0" borderId="48" xfId="0" applyNumberFormat="1" applyFont="1" applyBorder="1" applyAlignment="1">
      <alignment horizontal="center"/>
    </xf>
    <xf numFmtId="10" fontId="44" fillId="0" borderId="61" xfId="0" applyNumberFormat="1" applyFont="1" applyBorder="1" applyAlignment="1">
      <alignment horizontal="center"/>
    </xf>
    <xf numFmtId="0" fontId="43" fillId="0" borderId="23" xfId="0" applyFont="1" applyBorder="1" applyAlignment="1">
      <alignment horizontal="center"/>
    </xf>
    <xf numFmtId="0" fontId="43" fillId="0" borderId="20" xfId="0" applyFont="1" applyBorder="1" applyAlignment="1">
      <alignment horizontal="center"/>
    </xf>
    <xf numFmtId="0" fontId="43" fillId="0" borderId="24" xfId="0" applyFont="1" applyBorder="1" applyAlignment="1">
      <alignment horizontal="center"/>
    </xf>
    <xf numFmtId="1" fontId="95" fillId="0" borderId="55" xfId="0" applyNumberFormat="1" applyFont="1" applyBorder="1" applyAlignment="1">
      <alignment horizontal="center" vertical="center"/>
    </xf>
    <xf numFmtId="1" fontId="95" fillId="0" borderId="39" xfId="0" applyNumberFormat="1" applyFont="1" applyBorder="1" applyAlignment="1">
      <alignment horizontal="center" vertical="center"/>
    </xf>
    <xf numFmtId="1" fontId="95" fillId="0" borderId="10" xfId="0" applyNumberFormat="1" applyFont="1" applyBorder="1" applyAlignment="1">
      <alignment horizontal="center" vertical="center"/>
    </xf>
    <xf numFmtId="1" fontId="95" fillId="0" borderId="12" xfId="0" applyNumberFormat="1" applyFont="1" applyBorder="1" applyAlignment="1">
      <alignment horizontal="center" vertical="center"/>
    </xf>
    <xf numFmtId="0" fontId="96" fillId="0" borderId="55" xfId="0" applyFont="1" applyBorder="1" applyAlignment="1">
      <alignment horizontal="center" vertical="center"/>
    </xf>
    <xf numFmtId="0" fontId="96" fillId="0" borderId="39" xfId="0" applyFont="1" applyBorder="1" applyAlignment="1">
      <alignment horizontal="center" vertical="center"/>
    </xf>
    <xf numFmtId="0" fontId="96" fillId="0" borderId="10" xfId="0" applyFont="1" applyBorder="1" applyAlignment="1">
      <alignment horizontal="center" vertical="center"/>
    </xf>
    <xf numFmtId="0" fontId="96" fillId="0" borderId="12" xfId="0" applyFont="1" applyBorder="1" applyAlignment="1">
      <alignment horizontal="center" vertical="center"/>
    </xf>
    <xf numFmtId="0" fontId="95" fillId="0" borderId="29" xfId="0" applyFont="1" applyBorder="1" applyAlignment="1">
      <alignment horizontal="center" vertical="center"/>
    </xf>
    <xf numFmtId="0" fontId="95" fillId="0" borderId="6" xfId="0" applyFont="1" applyBorder="1" applyAlignment="1">
      <alignment horizontal="center" vertical="center"/>
    </xf>
    <xf numFmtId="0" fontId="95" fillId="0" borderId="55" xfId="0" applyFont="1" applyBorder="1" applyAlignment="1">
      <alignment horizontal="center" vertical="center"/>
    </xf>
    <xf numFmtId="0" fontId="95" fillId="0" borderId="24" xfId="0" applyFont="1" applyBorder="1" applyAlignment="1">
      <alignment horizontal="center" vertical="center"/>
    </xf>
    <xf numFmtId="0" fontId="95" fillId="0" borderId="10" xfId="0" applyFont="1" applyBorder="1" applyAlignment="1">
      <alignment horizontal="center" vertical="center"/>
    </xf>
    <xf numFmtId="0" fontId="95" fillId="0" borderId="40" xfId="0" applyFont="1" applyBorder="1" applyAlignment="1">
      <alignment horizontal="center" vertical="center"/>
    </xf>
    <xf numFmtId="0" fontId="43" fillId="0" borderId="1" xfId="0" applyFont="1" applyBorder="1" applyAlignment="1">
      <alignment horizontal="center"/>
    </xf>
    <xf numFmtId="1" fontId="95" fillId="0" borderId="29" xfId="0" applyNumberFormat="1" applyFont="1" applyBorder="1" applyAlignment="1">
      <alignment horizontal="center" vertical="center"/>
    </xf>
    <xf numFmtId="1" fontId="95" fillId="0" borderId="6" xfId="0" applyNumberFormat="1" applyFont="1" applyBorder="1" applyAlignment="1">
      <alignment horizontal="center" vertical="center"/>
    </xf>
    <xf numFmtId="0" fontId="44" fillId="0" borderId="23" xfId="0" applyFont="1" applyBorder="1" applyAlignment="1">
      <alignment horizontal="center"/>
    </xf>
    <xf numFmtId="0" fontId="44" fillId="0" borderId="20" xfId="0" applyFont="1" applyBorder="1" applyAlignment="1">
      <alignment horizontal="center"/>
    </xf>
    <xf numFmtId="0" fontId="44" fillId="0" borderId="24" xfId="0" applyFont="1" applyBorder="1" applyAlignment="1">
      <alignment horizontal="center"/>
    </xf>
    <xf numFmtId="0" fontId="47" fillId="0" borderId="23" xfId="0" applyFont="1" applyBorder="1" applyAlignment="1">
      <alignment horizontal="center"/>
    </xf>
    <xf numFmtId="0" fontId="47" fillId="0" borderId="24" xfId="0" applyFont="1" applyBorder="1" applyAlignment="1">
      <alignment horizontal="center"/>
    </xf>
    <xf numFmtId="0" fontId="91" fillId="0" borderId="59" xfId="0" applyFont="1" applyBorder="1" applyAlignment="1">
      <alignment horizontal="center"/>
    </xf>
    <xf numFmtId="0" fontId="45" fillId="0" borderId="14" xfId="0" applyFont="1" applyBorder="1" applyAlignment="1">
      <alignment horizontal="center"/>
    </xf>
    <xf numFmtId="0" fontId="45" fillId="0" borderId="16" xfId="0" applyFont="1" applyBorder="1" applyAlignment="1">
      <alignment horizontal="center"/>
    </xf>
    <xf numFmtId="0" fontId="0" fillId="0" borderId="14" xfId="0" applyBorder="1" applyAlignment="1">
      <alignment horizontal="center"/>
    </xf>
    <xf numFmtId="0" fontId="0" fillId="0" borderId="16" xfId="0" applyBorder="1" applyAlignment="1">
      <alignment horizontal="center"/>
    </xf>
    <xf numFmtId="0" fontId="0" fillId="0" borderId="4" xfId="0" applyBorder="1" applyAlignment="1">
      <alignment horizontal="center"/>
    </xf>
    <xf numFmtId="0" fontId="0" fillId="0" borderId="60" xfId="0" applyBorder="1" applyAlignment="1">
      <alignment horizontal="center"/>
    </xf>
    <xf numFmtId="0" fontId="0" fillId="0" borderId="56" xfId="0" applyBorder="1" applyAlignment="1">
      <alignment horizontal="center"/>
    </xf>
    <xf numFmtId="0" fontId="0" fillId="0" borderId="58" xfId="0" applyBorder="1" applyAlignment="1">
      <alignment horizontal="center"/>
    </xf>
    <xf numFmtId="0" fontId="0" fillId="0" borderId="48" xfId="0" applyBorder="1" applyAlignment="1">
      <alignment horizontal="center"/>
    </xf>
    <xf numFmtId="0" fontId="0" fillId="0" borderId="61" xfId="0" applyBorder="1" applyAlignment="1">
      <alignment horizontal="center"/>
    </xf>
    <xf numFmtId="0" fontId="44" fillId="0" borderId="0" xfId="0" applyFont="1" applyAlignment="1">
      <alignment horizontal="center"/>
    </xf>
    <xf numFmtId="0" fontId="46" fillId="0" borderId="28" xfId="0" applyFont="1" applyBorder="1" applyAlignment="1">
      <alignment horizontal="left"/>
    </xf>
    <xf numFmtId="0" fontId="46" fillId="0" borderId="29" xfId="0" applyFont="1" applyBorder="1" applyAlignment="1">
      <alignment horizontal="left"/>
    </xf>
    <xf numFmtId="0" fontId="46" fillId="0" borderId="55" xfId="0" applyFont="1" applyBorder="1" applyAlignment="1">
      <alignment horizontal="left"/>
    </xf>
    <xf numFmtId="0" fontId="46" fillId="0" borderId="30" xfId="0" applyFont="1" applyBorder="1" applyAlignment="1">
      <alignment horizontal="left"/>
    </xf>
    <xf numFmtId="0" fontId="46" fillId="0" borderId="23" xfId="0" applyFont="1" applyBorder="1" applyAlignment="1">
      <alignment horizontal="center"/>
    </xf>
    <xf numFmtId="0" fontId="46" fillId="0" borderId="20" xfId="0" applyFont="1" applyBorder="1" applyAlignment="1">
      <alignment horizontal="center"/>
    </xf>
    <xf numFmtId="0" fontId="46" fillId="0" borderId="39" xfId="0" applyFont="1" applyBorder="1" applyAlignment="1">
      <alignment horizontal="center"/>
    </xf>
    <xf numFmtId="0" fontId="0" fillId="0" borderId="47" xfId="0" applyBorder="1" applyAlignment="1">
      <alignment horizontal="left"/>
    </xf>
    <xf numFmtId="0" fontId="0" fillId="0" borderId="4" xfId="0" applyBorder="1" applyAlignment="1">
      <alignment horizontal="left"/>
    </xf>
    <xf numFmtId="0" fontId="0" fillId="0" borderId="2" xfId="0" applyBorder="1" applyAlignment="1">
      <alignment horizontal="center"/>
    </xf>
    <xf numFmtId="0" fontId="44" fillId="0" borderId="47" xfId="0" applyFont="1" applyBorder="1" applyAlignment="1">
      <alignment horizontal="left" vertical="center"/>
    </xf>
    <xf numFmtId="0" fontId="44" fillId="0" borderId="4" xfId="0" applyFont="1" applyBorder="1" applyAlignment="1">
      <alignment horizontal="left" vertical="center"/>
    </xf>
    <xf numFmtId="0" fontId="44" fillId="0" borderId="53" xfId="0" applyFont="1" applyBorder="1" applyAlignment="1">
      <alignment horizontal="left" vertical="center"/>
    </xf>
    <xf numFmtId="0" fontId="44" fillId="0" borderId="48" xfId="0" applyFont="1" applyBorder="1" applyAlignment="1">
      <alignment horizontal="left" vertical="center"/>
    </xf>
    <xf numFmtId="0" fontId="94" fillId="0" borderId="0" xfId="0" applyFont="1" applyBorder="1" applyAlignment="1">
      <alignment horizontal="center"/>
    </xf>
    <xf numFmtId="0" fontId="0" fillId="0" borderId="62" xfId="0" applyBorder="1" applyAlignment="1">
      <alignment horizontal="left"/>
    </xf>
    <xf numFmtId="0" fontId="0" fillId="0" borderId="3" xfId="0" applyBorder="1" applyAlignment="1">
      <alignment horizontal="left"/>
    </xf>
    <xf numFmtId="0" fontId="0" fillId="0" borderId="57" xfId="0" applyBorder="1" applyAlignment="1">
      <alignment horizontal="center"/>
    </xf>
    <xf numFmtId="0" fontId="43" fillId="0" borderId="17" xfId="0" applyFont="1" applyBorder="1" applyAlignment="1">
      <alignment horizontal="center"/>
    </xf>
    <xf numFmtId="0" fontId="43" fillId="0" borderId="18" xfId="0" applyFont="1" applyBorder="1" applyAlignment="1">
      <alignment horizontal="center"/>
    </xf>
    <xf numFmtId="0" fontId="43" fillId="0" borderId="31" xfId="0" applyFont="1" applyBorder="1" applyAlignment="1">
      <alignment horizontal="center"/>
    </xf>
    <xf numFmtId="0" fontId="36" fillId="0" borderId="4" xfId="0" applyFont="1" applyBorder="1" applyAlignment="1">
      <alignment horizontal="center"/>
    </xf>
    <xf numFmtId="0" fontId="44" fillId="0" borderId="64" xfId="0" applyFont="1" applyBorder="1" applyAlignment="1">
      <alignment horizontal="center"/>
    </xf>
    <xf numFmtId="0" fontId="44" fillId="0" borderId="51" xfId="0" applyFont="1" applyBorder="1" applyAlignment="1">
      <alignment horizontal="center"/>
    </xf>
    <xf numFmtId="168" fontId="44" fillId="0" borderId="51" xfId="0" applyNumberFormat="1" applyFont="1" applyBorder="1" applyAlignment="1">
      <alignment horizontal="center"/>
    </xf>
    <xf numFmtId="168" fontId="44" fillId="0" borderId="65" xfId="0" applyNumberFormat="1" applyFont="1" applyBorder="1" applyAlignment="1">
      <alignment horizontal="center"/>
    </xf>
    <xf numFmtId="0" fontId="37" fillId="0" borderId="47" xfId="0" applyFont="1" applyBorder="1" applyAlignment="1">
      <alignment horizontal="left" vertical="center"/>
    </xf>
    <xf numFmtId="0" fontId="37" fillId="0" borderId="4" xfId="0" applyFont="1" applyBorder="1" applyAlignment="1">
      <alignment horizontal="left" vertical="center"/>
    </xf>
    <xf numFmtId="165" fontId="44" fillId="0" borderId="4" xfId="1" applyFont="1" applyBorder="1" applyAlignment="1">
      <alignment horizontal="center"/>
    </xf>
    <xf numFmtId="165" fontId="44" fillId="0" borderId="60" xfId="1" applyFont="1" applyBorder="1" applyAlignment="1">
      <alignment horizontal="center"/>
    </xf>
    <xf numFmtId="164" fontId="44" fillId="0" borderId="4" xfId="0" applyNumberFormat="1" applyFont="1" applyBorder="1" applyAlignment="1">
      <alignment horizontal="center"/>
    </xf>
    <xf numFmtId="0" fontId="44" fillId="0" borderId="60" xfId="0" applyFont="1" applyBorder="1" applyAlignment="1">
      <alignment horizontal="center"/>
    </xf>
    <xf numFmtId="0" fontId="37" fillId="0" borderId="0" xfId="0" applyFont="1" applyAlignment="1">
      <alignment horizontal="center"/>
    </xf>
    <xf numFmtId="0" fontId="0" fillId="0" borderId="0" xfId="0" applyAlignment="1">
      <alignment horizontal="center"/>
    </xf>
    <xf numFmtId="0" fontId="102" fillId="0" borderId="0" xfId="6" applyFont="1" applyAlignment="1">
      <alignment horizontal="left" vertical="center" wrapText="1"/>
    </xf>
    <xf numFmtId="0" fontId="104" fillId="0" borderId="0" xfId="6" applyFont="1" applyAlignment="1">
      <alignment horizontal="center" vertical="center"/>
    </xf>
    <xf numFmtId="14" fontId="102" fillId="0" borderId="0" xfId="6" applyNumberFormat="1" applyFont="1" applyAlignment="1">
      <alignment horizontal="center" vertical="center" wrapText="1"/>
    </xf>
    <xf numFmtId="0" fontId="102" fillId="0" borderId="0" xfId="6" applyFont="1" applyAlignment="1">
      <alignment horizontal="left" vertical="center"/>
    </xf>
    <xf numFmtId="0" fontId="102" fillId="0" borderId="0" xfId="6" applyFont="1" applyAlignment="1">
      <alignment horizontal="center"/>
    </xf>
    <xf numFmtId="0" fontId="102" fillId="0" borderId="0" xfId="6" applyFont="1" applyAlignment="1">
      <alignment horizontal="left"/>
    </xf>
    <xf numFmtId="1" fontId="102" fillId="0" borderId="0" xfId="6" applyNumberFormat="1" applyFont="1" applyAlignment="1">
      <alignment horizontal="left"/>
    </xf>
    <xf numFmtId="0" fontId="102" fillId="0" borderId="0" xfId="6" applyFont="1" applyAlignment="1">
      <alignment horizontal="left" vertical="top" wrapText="1"/>
    </xf>
    <xf numFmtId="171" fontId="102" fillId="0" borderId="0" xfId="7" applyNumberFormat="1" applyFont="1" applyAlignment="1">
      <alignment horizontal="center"/>
    </xf>
    <xf numFmtId="0" fontId="102" fillId="0" borderId="0" xfId="6" applyFont="1" applyAlignment="1">
      <alignment horizontal="left" wrapText="1"/>
    </xf>
    <xf numFmtId="14" fontId="102" fillId="0" borderId="0" xfId="6" applyNumberFormat="1" applyFont="1" applyAlignment="1">
      <alignment horizontal="center"/>
    </xf>
    <xf numFmtId="0" fontId="6" fillId="0" borderId="7" xfId="0" applyFont="1" applyBorder="1" applyAlignment="1">
      <alignment horizontal="justify" vertical="center" wrapText="1"/>
    </xf>
    <xf numFmtId="0" fontId="35" fillId="0" borderId="0" xfId="0" applyFont="1" applyAlignment="1">
      <alignment horizontal="center"/>
    </xf>
    <xf numFmtId="0" fontId="36" fillId="0" borderId="0" xfId="0" applyFont="1" applyAlignment="1">
      <alignment horizontal="center"/>
    </xf>
    <xf numFmtId="0" fontId="37" fillId="0" borderId="17" xfId="0" applyFont="1" applyBorder="1" applyAlignment="1">
      <alignment horizontal="center"/>
    </xf>
    <xf numFmtId="0" fontId="37" fillId="0" borderId="18" xfId="0" applyFont="1" applyBorder="1" applyAlignment="1">
      <alignment horizontal="center"/>
    </xf>
    <xf numFmtId="0" fontId="37" fillId="0" borderId="19" xfId="0" applyFont="1" applyBorder="1" applyAlignment="1">
      <alignment horizontal="center"/>
    </xf>
    <xf numFmtId="0" fontId="0" fillId="0" borderId="0" xfId="0" applyAlignment="1">
      <alignment horizontal="left"/>
    </xf>
    <xf numFmtId="0" fontId="0" fillId="0" borderId="1" xfId="0" applyBorder="1" applyAlignment="1">
      <alignment horizontal="center"/>
    </xf>
    <xf numFmtId="0" fontId="31" fillId="0" borderId="0" xfId="0" applyFont="1" applyAlignment="1">
      <alignment horizontal="center"/>
    </xf>
    <xf numFmtId="1" fontId="0" fillId="0" borderId="1" xfId="0" applyNumberFormat="1" applyBorder="1" applyAlignment="1">
      <alignment horizontal="center"/>
    </xf>
  </cellXfs>
  <cellStyles count="8">
    <cellStyle name="Comma" xfId="1" builtinId="3"/>
    <cellStyle name="Comma [0]" xfId="2" builtinId="6"/>
    <cellStyle name="Comma [0] 2" xfId="7" xr:uid="{00000000-0005-0000-0000-000002000000}"/>
    <cellStyle name="Hyperlink" xfId="3" builtinId="8"/>
    <cellStyle name="Normal" xfId="0" builtinId="0"/>
    <cellStyle name="Normal 2" xfId="5" xr:uid="{00000000-0005-0000-0000-000005000000}"/>
    <cellStyle name="Normal 2 2" xfId="6" xr:uid="{00000000-0005-0000-0000-000006000000}"/>
    <cellStyle name="Percent"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wmf"/><Relationship Id="rId2" Type="http://schemas.openxmlformats.org/officeDocument/2006/relationships/image" Target="../media/image1.wmf"/><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xdr:from>
      <xdr:col>0</xdr:col>
      <xdr:colOff>417195</xdr:colOff>
      <xdr:row>2</xdr:row>
      <xdr:rowOff>28574</xdr:rowOff>
    </xdr:from>
    <xdr:to>
      <xdr:col>0</xdr:col>
      <xdr:colOff>586831</xdr:colOff>
      <xdr:row>2</xdr:row>
      <xdr:rowOff>161925</xdr:rowOff>
    </xdr:to>
    <xdr:sp macro="" textlink="">
      <xdr:nvSpPr>
        <xdr:cNvPr id="2" name="Rectangle 1">
          <a:extLst>
            <a:ext uri="{FF2B5EF4-FFF2-40B4-BE49-F238E27FC236}">
              <a16:creationId xmlns:a16="http://schemas.microsoft.com/office/drawing/2014/main" id="{00000000-0008-0000-0800-000002000000}"/>
            </a:ext>
          </a:extLst>
        </xdr:cNvPr>
        <xdr:cNvSpPr/>
      </xdr:nvSpPr>
      <xdr:spPr>
        <a:xfrm>
          <a:off x="426720" y="561974"/>
          <a:ext cx="169636" cy="13335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407671</xdr:colOff>
      <xdr:row>2</xdr:row>
      <xdr:rowOff>28575</xdr:rowOff>
    </xdr:from>
    <xdr:to>
      <xdr:col>4</xdr:col>
      <xdr:colOff>558277</xdr:colOff>
      <xdr:row>2</xdr:row>
      <xdr:rowOff>163930</xdr:rowOff>
    </xdr:to>
    <xdr:sp macro="" textlink="">
      <xdr:nvSpPr>
        <xdr:cNvPr id="3" name="Rectangle 2">
          <a:extLst>
            <a:ext uri="{FF2B5EF4-FFF2-40B4-BE49-F238E27FC236}">
              <a16:creationId xmlns:a16="http://schemas.microsoft.com/office/drawing/2014/main" id="{00000000-0008-0000-0800-000003000000}"/>
            </a:ext>
          </a:extLst>
        </xdr:cNvPr>
        <xdr:cNvSpPr/>
      </xdr:nvSpPr>
      <xdr:spPr>
        <a:xfrm>
          <a:off x="2520316" y="561975"/>
          <a:ext cx="160019" cy="13535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7</xdr:col>
      <xdr:colOff>434340</xdr:colOff>
      <xdr:row>2</xdr:row>
      <xdr:rowOff>38099</xdr:rowOff>
    </xdr:from>
    <xdr:to>
      <xdr:col>7</xdr:col>
      <xdr:colOff>587269</xdr:colOff>
      <xdr:row>2</xdr:row>
      <xdr:rowOff>164042</xdr:rowOff>
    </xdr:to>
    <xdr:sp macro="" textlink="">
      <xdr:nvSpPr>
        <xdr:cNvPr id="4" name="Rectangle 3">
          <a:extLst>
            <a:ext uri="{FF2B5EF4-FFF2-40B4-BE49-F238E27FC236}">
              <a16:creationId xmlns:a16="http://schemas.microsoft.com/office/drawing/2014/main" id="{00000000-0008-0000-0800-000004000000}"/>
            </a:ext>
          </a:extLst>
        </xdr:cNvPr>
        <xdr:cNvSpPr/>
      </xdr:nvSpPr>
      <xdr:spPr>
        <a:xfrm>
          <a:off x="4512945" y="571499"/>
          <a:ext cx="161925"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436245</xdr:colOff>
      <xdr:row>12</xdr:row>
      <xdr:rowOff>38100</xdr:rowOff>
    </xdr:from>
    <xdr:to>
      <xdr:col>6</xdr:col>
      <xdr:colOff>596458</xdr:colOff>
      <xdr:row>12</xdr:row>
      <xdr:rowOff>161925</xdr:rowOff>
    </xdr:to>
    <xdr:sp macro="" textlink="">
      <xdr:nvSpPr>
        <xdr:cNvPr id="5" name="Rectangle 4">
          <a:extLst>
            <a:ext uri="{FF2B5EF4-FFF2-40B4-BE49-F238E27FC236}">
              <a16:creationId xmlns:a16="http://schemas.microsoft.com/office/drawing/2014/main" id="{00000000-0008-0000-0800-000005000000}"/>
            </a:ext>
          </a:extLst>
        </xdr:cNvPr>
        <xdr:cNvSpPr/>
      </xdr:nvSpPr>
      <xdr:spPr>
        <a:xfrm>
          <a:off x="3859530" y="2514600"/>
          <a:ext cx="169637" cy="1238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436245</xdr:colOff>
      <xdr:row>25</xdr:row>
      <xdr:rowOff>47625</xdr:rowOff>
    </xdr:from>
    <xdr:to>
      <xdr:col>4</xdr:col>
      <xdr:colOff>596456</xdr:colOff>
      <xdr:row>26</xdr:row>
      <xdr:rowOff>0</xdr:rowOff>
    </xdr:to>
    <xdr:sp macro="" textlink="">
      <xdr:nvSpPr>
        <xdr:cNvPr id="6" name="Rectangle 5">
          <a:extLst>
            <a:ext uri="{FF2B5EF4-FFF2-40B4-BE49-F238E27FC236}">
              <a16:creationId xmlns:a16="http://schemas.microsoft.com/office/drawing/2014/main" id="{00000000-0008-0000-0800-000006000000}"/>
            </a:ext>
          </a:extLst>
        </xdr:cNvPr>
        <xdr:cNvSpPr/>
      </xdr:nvSpPr>
      <xdr:spPr>
        <a:xfrm>
          <a:off x="2548890" y="4901565"/>
          <a:ext cx="169635" cy="13525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id-ID" sz="1100"/>
            <a:t>V</a:t>
          </a:r>
          <a:endParaRPr lang="en-US" sz="1100"/>
        </a:p>
      </xdr:txBody>
    </xdr:sp>
    <xdr:clientData/>
  </xdr:twoCellAnchor>
  <xdr:oneCellAnchor>
    <xdr:from>
      <xdr:col>0</xdr:col>
      <xdr:colOff>7620</xdr:colOff>
      <xdr:row>84</xdr:row>
      <xdr:rowOff>70485</xdr:rowOff>
    </xdr:from>
    <xdr:ext cx="6514858" cy="953466"/>
    <xdr:sp macro="" textlink="">
      <xdr:nvSpPr>
        <xdr:cNvPr id="7" name="TextBox 6">
          <a:extLst>
            <a:ext uri="{FF2B5EF4-FFF2-40B4-BE49-F238E27FC236}">
              <a16:creationId xmlns:a16="http://schemas.microsoft.com/office/drawing/2014/main" id="{00000000-0008-0000-0800-000007000000}"/>
            </a:ext>
          </a:extLst>
        </xdr:cNvPr>
        <xdr:cNvSpPr txBox="1"/>
      </xdr:nvSpPr>
      <xdr:spPr>
        <a:xfrm>
          <a:off x="7620" y="15445740"/>
          <a:ext cx="6524625" cy="95346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spAutoFit/>
        </a:bodyPr>
        <a:lstStyle/>
        <a:p>
          <a:pPr marL="0" marR="0" indent="0" algn="just"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Bahwa tujuan pembukaan rekening atau seluruh simpanan</a:t>
          </a:r>
          <a:r>
            <a:rPr lang="id-ID" sz="1100">
              <a:solidFill>
                <a:schemeClr val="tx1"/>
              </a:solidFill>
              <a:latin typeface="+mn-lt"/>
              <a:ea typeface="+mn-ea"/>
              <a:cs typeface="+mn-cs"/>
            </a:rPr>
            <a:t> dan</a:t>
          </a:r>
          <a:r>
            <a:rPr lang="id-ID" sz="1100" baseline="0">
              <a:solidFill>
                <a:schemeClr val="tx1"/>
              </a:solidFill>
              <a:latin typeface="+mn-lt"/>
              <a:ea typeface="+mn-ea"/>
              <a:cs typeface="+mn-cs"/>
            </a:rPr>
            <a:t> Pinjaman</a:t>
          </a:r>
          <a:r>
            <a:rPr lang="en-US" sz="1100">
              <a:solidFill>
                <a:schemeClr val="tx1"/>
              </a:solidFill>
              <a:latin typeface="+mn-lt"/>
              <a:ea typeface="+mn-ea"/>
              <a:cs typeface="+mn-cs"/>
            </a:rPr>
            <a:t> bukan berasal</a:t>
          </a:r>
          <a:r>
            <a:rPr lang="en-US" sz="1100" baseline="0">
              <a:solidFill>
                <a:schemeClr val="tx1"/>
              </a:solidFill>
              <a:latin typeface="+mn-lt"/>
              <a:ea typeface="+mn-ea"/>
              <a:cs typeface="+mn-cs"/>
            </a:rPr>
            <a:t> dari tindak pidana pencucian uang</a:t>
          </a:r>
          <a:r>
            <a:rPr lang="id-ID" sz="1100" baseline="0">
              <a:solidFill>
                <a:schemeClr val="tx1"/>
              </a:solidFill>
              <a:latin typeface="+mn-lt"/>
              <a:ea typeface="+mn-ea"/>
              <a:cs typeface="+mn-cs"/>
            </a:rPr>
            <a:t> ataupun untuk Pendanaan Terorisme</a:t>
          </a:r>
          <a:r>
            <a:rPr lang="en-US" sz="1100" baseline="0">
              <a:solidFill>
                <a:schemeClr val="tx1"/>
              </a:solidFill>
              <a:latin typeface="+mn-lt"/>
              <a:ea typeface="+mn-ea"/>
              <a:cs typeface="+mn-cs"/>
            </a:rPr>
            <a:t>. Apabila dikemudian hari ternyata terbukti bahwa dana simpanan hasil dari tindak pidana korupsi/ pencucian uang, kami sebagai penyetoratau sebagai pemilik rekeningsimpanan bersedia untuk tunduk pada peraturan perundang-undangan yang berlaku yaitu  Undang Undang Perbankan dan Undang Undang Tindak Pidana Pencucian uang ( UUTPPU).</a:t>
          </a:r>
          <a:endParaRPr lang="en-US" sz="1100">
            <a:solidFill>
              <a:schemeClr val="tx1"/>
            </a:solidFill>
            <a:latin typeface="+mn-lt"/>
            <a:ea typeface="+mn-ea"/>
            <a:cs typeface="+mn-cs"/>
          </a:endParaRPr>
        </a:p>
      </xdr:txBody>
    </xdr:sp>
    <xdr:clientData/>
  </xdr:oneCellAnchor>
  <xdr:twoCellAnchor>
    <xdr:from>
      <xdr:col>4</xdr:col>
      <xdr:colOff>434340</xdr:colOff>
      <xdr:row>8</xdr:row>
      <xdr:rowOff>38100</xdr:rowOff>
    </xdr:from>
    <xdr:to>
      <xdr:col>4</xdr:col>
      <xdr:colOff>587269</xdr:colOff>
      <xdr:row>8</xdr:row>
      <xdr:rowOff>164043</xdr:rowOff>
    </xdr:to>
    <xdr:sp macro="" textlink="">
      <xdr:nvSpPr>
        <xdr:cNvPr id="8" name="Rectangle 7">
          <a:extLst>
            <a:ext uri="{FF2B5EF4-FFF2-40B4-BE49-F238E27FC236}">
              <a16:creationId xmlns:a16="http://schemas.microsoft.com/office/drawing/2014/main" id="{00000000-0008-0000-0800-000008000000}"/>
            </a:ext>
          </a:extLst>
        </xdr:cNvPr>
        <xdr:cNvSpPr/>
      </xdr:nvSpPr>
      <xdr:spPr>
        <a:xfrm>
          <a:off x="2546985" y="1783080"/>
          <a:ext cx="161925"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7</xdr:col>
      <xdr:colOff>436245</xdr:colOff>
      <xdr:row>8</xdr:row>
      <xdr:rowOff>47625</xdr:rowOff>
    </xdr:from>
    <xdr:to>
      <xdr:col>7</xdr:col>
      <xdr:colOff>596457</xdr:colOff>
      <xdr:row>8</xdr:row>
      <xdr:rowOff>183256</xdr:rowOff>
    </xdr:to>
    <xdr:sp macro="" textlink="">
      <xdr:nvSpPr>
        <xdr:cNvPr id="9" name="Rectangle 8">
          <a:extLst>
            <a:ext uri="{FF2B5EF4-FFF2-40B4-BE49-F238E27FC236}">
              <a16:creationId xmlns:a16="http://schemas.microsoft.com/office/drawing/2014/main" id="{00000000-0008-0000-0800-000009000000}"/>
            </a:ext>
          </a:extLst>
        </xdr:cNvPr>
        <xdr:cNvSpPr/>
      </xdr:nvSpPr>
      <xdr:spPr>
        <a:xfrm>
          <a:off x="4514850" y="179260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id-ID" sz="1100"/>
            <a:t>V</a:t>
          </a:r>
          <a:endParaRPr lang="en-US" sz="1100"/>
        </a:p>
      </xdr:txBody>
    </xdr:sp>
    <xdr:clientData/>
  </xdr:twoCellAnchor>
  <xdr:twoCellAnchor>
    <xdr:from>
      <xdr:col>6</xdr:col>
      <xdr:colOff>436245</xdr:colOff>
      <xdr:row>11</xdr:row>
      <xdr:rowOff>47625</xdr:rowOff>
    </xdr:from>
    <xdr:to>
      <xdr:col>6</xdr:col>
      <xdr:colOff>596457</xdr:colOff>
      <xdr:row>11</xdr:row>
      <xdr:rowOff>183256</xdr:rowOff>
    </xdr:to>
    <xdr:sp macro="" textlink="">
      <xdr:nvSpPr>
        <xdr:cNvPr id="10" name="Rectangle 9">
          <a:extLst>
            <a:ext uri="{FF2B5EF4-FFF2-40B4-BE49-F238E27FC236}">
              <a16:creationId xmlns:a16="http://schemas.microsoft.com/office/drawing/2014/main" id="{00000000-0008-0000-0800-00000A000000}"/>
            </a:ext>
          </a:extLst>
        </xdr:cNvPr>
        <xdr:cNvSpPr/>
      </xdr:nvSpPr>
      <xdr:spPr>
        <a:xfrm>
          <a:off x="3859530" y="234124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436245</xdr:colOff>
      <xdr:row>12</xdr:row>
      <xdr:rowOff>49530</xdr:rowOff>
    </xdr:from>
    <xdr:to>
      <xdr:col>8</xdr:col>
      <xdr:colOff>596457</xdr:colOff>
      <xdr:row>13</xdr:row>
      <xdr:rowOff>239</xdr:rowOff>
    </xdr:to>
    <xdr:sp macro="" textlink="">
      <xdr:nvSpPr>
        <xdr:cNvPr id="11" name="Rectangle 10">
          <a:extLst>
            <a:ext uri="{FF2B5EF4-FFF2-40B4-BE49-F238E27FC236}">
              <a16:creationId xmlns:a16="http://schemas.microsoft.com/office/drawing/2014/main" id="{00000000-0008-0000-0800-00000B000000}"/>
            </a:ext>
          </a:extLst>
        </xdr:cNvPr>
        <xdr:cNvSpPr/>
      </xdr:nvSpPr>
      <xdr:spPr>
        <a:xfrm>
          <a:off x="5170170" y="2526030"/>
          <a:ext cx="169636" cy="133589"/>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434340</xdr:colOff>
      <xdr:row>11</xdr:row>
      <xdr:rowOff>47625</xdr:rowOff>
    </xdr:from>
    <xdr:to>
      <xdr:col>8</xdr:col>
      <xdr:colOff>587269</xdr:colOff>
      <xdr:row>11</xdr:row>
      <xdr:rowOff>183256</xdr:rowOff>
    </xdr:to>
    <xdr:sp macro="" textlink="">
      <xdr:nvSpPr>
        <xdr:cNvPr id="12" name="Rectangle 11">
          <a:extLst>
            <a:ext uri="{FF2B5EF4-FFF2-40B4-BE49-F238E27FC236}">
              <a16:creationId xmlns:a16="http://schemas.microsoft.com/office/drawing/2014/main" id="{00000000-0008-0000-0800-00000C000000}"/>
            </a:ext>
          </a:extLst>
        </xdr:cNvPr>
        <xdr:cNvSpPr/>
      </xdr:nvSpPr>
      <xdr:spPr>
        <a:xfrm>
          <a:off x="5168265" y="2341245"/>
          <a:ext cx="161925"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426720</xdr:colOff>
      <xdr:row>18</xdr:row>
      <xdr:rowOff>47625</xdr:rowOff>
    </xdr:from>
    <xdr:to>
      <xdr:col>4</xdr:col>
      <xdr:colOff>586932</xdr:colOff>
      <xdr:row>18</xdr:row>
      <xdr:rowOff>183256</xdr:rowOff>
    </xdr:to>
    <xdr:sp macro="" textlink="">
      <xdr:nvSpPr>
        <xdr:cNvPr id="13" name="Rectangle 12">
          <a:extLst>
            <a:ext uri="{FF2B5EF4-FFF2-40B4-BE49-F238E27FC236}">
              <a16:creationId xmlns:a16="http://schemas.microsoft.com/office/drawing/2014/main" id="{00000000-0008-0000-0800-00000D000000}"/>
            </a:ext>
          </a:extLst>
        </xdr:cNvPr>
        <xdr:cNvSpPr/>
      </xdr:nvSpPr>
      <xdr:spPr>
        <a:xfrm>
          <a:off x="2474595" y="3743325"/>
          <a:ext cx="160212" cy="13563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436245</xdr:colOff>
      <xdr:row>12</xdr:row>
      <xdr:rowOff>38100</xdr:rowOff>
    </xdr:from>
    <xdr:to>
      <xdr:col>4</xdr:col>
      <xdr:colOff>596457</xdr:colOff>
      <xdr:row>12</xdr:row>
      <xdr:rowOff>164043</xdr:rowOff>
    </xdr:to>
    <xdr:sp macro="" textlink="">
      <xdr:nvSpPr>
        <xdr:cNvPr id="14" name="Rectangle 13">
          <a:extLst>
            <a:ext uri="{FF2B5EF4-FFF2-40B4-BE49-F238E27FC236}">
              <a16:creationId xmlns:a16="http://schemas.microsoft.com/office/drawing/2014/main" id="{00000000-0008-0000-0800-00000E000000}"/>
            </a:ext>
          </a:extLst>
        </xdr:cNvPr>
        <xdr:cNvSpPr/>
      </xdr:nvSpPr>
      <xdr:spPr>
        <a:xfrm>
          <a:off x="2548890" y="2514600"/>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id-ID" sz="1100"/>
            <a:t>V</a:t>
          </a:r>
          <a:endParaRPr lang="en-US" sz="1100"/>
        </a:p>
      </xdr:txBody>
    </xdr:sp>
    <xdr:clientData/>
  </xdr:twoCellAnchor>
  <xdr:twoCellAnchor>
    <xdr:from>
      <xdr:col>4</xdr:col>
      <xdr:colOff>436245</xdr:colOff>
      <xdr:row>11</xdr:row>
      <xdr:rowOff>47625</xdr:rowOff>
    </xdr:from>
    <xdr:to>
      <xdr:col>4</xdr:col>
      <xdr:colOff>596457</xdr:colOff>
      <xdr:row>11</xdr:row>
      <xdr:rowOff>183256</xdr:rowOff>
    </xdr:to>
    <xdr:sp macro="" textlink="">
      <xdr:nvSpPr>
        <xdr:cNvPr id="15" name="Rectangle 14">
          <a:extLst>
            <a:ext uri="{FF2B5EF4-FFF2-40B4-BE49-F238E27FC236}">
              <a16:creationId xmlns:a16="http://schemas.microsoft.com/office/drawing/2014/main" id="{00000000-0008-0000-0800-00000F000000}"/>
            </a:ext>
          </a:extLst>
        </xdr:cNvPr>
        <xdr:cNvSpPr/>
      </xdr:nvSpPr>
      <xdr:spPr>
        <a:xfrm>
          <a:off x="2548890" y="234124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id-ID" sz="1100"/>
            <a:t>V</a:t>
          </a:r>
          <a:endParaRPr lang="en-US" sz="1100"/>
        </a:p>
      </xdr:txBody>
    </xdr:sp>
    <xdr:clientData/>
  </xdr:twoCellAnchor>
  <xdr:twoCellAnchor>
    <xdr:from>
      <xdr:col>8</xdr:col>
      <xdr:colOff>436245</xdr:colOff>
      <xdr:row>24</xdr:row>
      <xdr:rowOff>49530</xdr:rowOff>
    </xdr:from>
    <xdr:to>
      <xdr:col>8</xdr:col>
      <xdr:colOff>596457</xdr:colOff>
      <xdr:row>25</xdr:row>
      <xdr:rowOff>239</xdr:rowOff>
    </xdr:to>
    <xdr:sp macro="" textlink="">
      <xdr:nvSpPr>
        <xdr:cNvPr id="16" name="Rectangle 15">
          <a:extLst>
            <a:ext uri="{FF2B5EF4-FFF2-40B4-BE49-F238E27FC236}">
              <a16:creationId xmlns:a16="http://schemas.microsoft.com/office/drawing/2014/main" id="{00000000-0008-0000-0800-000010000000}"/>
            </a:ext>
          </a:extLst>
        </xdr:cNvPr>
        <xdr:cNvSpPr/>
      </xdr:nvSpPr>
      <xdr:spPr>
        <a:xfrm>
          <a:off x="5170170" y="4720590"/>
          <a:ext cx="169636" cy="133589"/>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436245</xdr:colOff>
      <xdr:row>17</xdr:row>
      <xdr:rowOff>47625</xdr:rowOff>
    </xdr:from>
    <xdr:to>
      <xdr:col>8</xdr:col>
      <xdr:colOff>596457</xdr:colOff>
      <xdr:row>17</xdr:row>
      <xdr:rowOff>183256</xdr:rowOff>
    </xdr:to>
    <xdr:sp macro="" textlink="">
      <xdr:nvSpPr>
        <xdr:cNvPr id="17" name="Rectangle 16">
          <a:extLst>
            <a:ext uri="{FF2B5EF4-FFF2-40B4-BE49-F238E27FC236}">
              <a16:creationId xmlns:a16="http://schemas.microsoft.com/office/drawing/2014/main" id="{00000000-0008-0000-0800-000011000000}"/>
            </a:ext>
          </a:extLst>
        </xdr:cNvPr>
        <xdr:cNvSpPr/>
      </xdr:nvSpPr>
      <xdr:spPr>
        <a:xfrm>
          <a:off x="5170170" y="343852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453390</xdr:colOff>
      <xdr:row>17</xdr:row>
      <xdr:rowOff>28575</xdr:rowOff>
    </xdr:from>
    <xdr:to>
      <xdr:col>6</xdr:col>
      <xdr:colOff>606319</xdr:colOff>
      <xdr:row>17</xdr:row>
      <xdr:rowOff>164206</xdr:rowOff>
    </xdr:to>
    <xdr:sp macro="" textlink="">
      <xdr:nvSpPr>
        <xdr:cNvPr id="18" name="Rectangle 17">
          <a:extLst>
            <a:ext uri="{FF2B5EF4-FFF2-40B4-BE49-F238E27FC236}">
              <a16:creationId xmlns:a16="http://schemas.microsoft.com/office/drawing/2014/main" id="{00000000-0008-0000-0800-000012000000}"/>
            </a:ext>
          </a:extLst>
        </xdr:cNvPr>
        <xdr:cNvSpPr/>
      </xdr:nvSpPr>
      <xdr:spPr>
        <a:xfrm>
          <a:off x="3777615" y="3533775"/>
          <a:ext cx="152929" cy="13563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436245</xdr:colOff>
      <xdr:row>17</xdr:row>
      <xdr:rowOff>57150</xdr:rowOff>
    </xdr:from>
    <xdr:to>
      <xdr:col>4</xdr:col>
      <xdr:colOff>596457</xdr:colOff>
      <xdr:row>18</xdr:row>
      <xdr:rowOff>2281</xdr:rowOff>
    </xdr:to>
    <xdr:sp macro="" textlink="">
      <xdr:nvSpPr>
        <xdr:cNvPr id="19" name="Rectangle 18">
          <a:extLst>
            <a:ext uri="{FF2B5EF4-FFF2-40B4-BE49-F238E27FC236}">
              <a16:creationId xmlns:a16="http://schemas.microsoft.com/office/drawing/2014/main" id="{00000000-0008-0000-0800-000013000000}"/>
            </a:ext>
          </a:extLst>
        </xdr:cNvPr>
        <xdr:cNvSpPr/>
      </xdr:nvSpPr>
      <xdr:spPr>
        <a:xfrm>
          <a:off x="2484120" y="3562350"/>
          <a:ext cx="160212" cy="13563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id-ID" sz="1100"/>
            <a:t>V</a:t>
          </a:r>
          <a:endParaRPr lang="en-US" sz="1100"/>
        </a:p>
      </xdr:txBody>
    </xdr:sp>
    <xdr:clientData/>
  </xdr:twoCellAnchor>
  <xdr:twoCellAnchor>
    <xdr:from>
      <xdr:col>6</xdr:col>
      <xdr:colOff>434340</xdr:colOff>
      <xdr:row>22</xdr:row>
      <xdr:rowOff>47625</xdr:rowOff>
    </xdr:from>
    <xdr:to>
      <xdr:col>6</xdr:col>
      <xdr:colOff>587269</xdr:colOff>
      <xdr:row>22</xdr:row>
      <xdr:rowOff>183256</xdr:rowOff>
    </xdr:to>
    <xdr:sp macro="" textlink="">
      <xdr:nvSpPr>
        <xdr:cNvPr id="20" name="Rectangle 19">
          <a:extLst>
            <a:ext uri="{FF2B5EF4-FFF2-40B4-BE49-F238E27FC236}">
              <a16:creationId xmlns:a16="http://schemas.microsoft.com/office/drawing/2014/main" id="{00000000-0008-0000-0800-000014000000}"/>
            </a:ext>
          </a:extLst>
        </xdr:cNvPr>
        <xdr:cNvSpPr/>
      </xdr:nvSpPr>
      <xdr:spPr>
        <a:xfrm>
          <a:off x="3857625" y="4352925"/>
          <a:ext cx="161925"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434340</xdr:colOff>
      <xdr:row>23</xdr:row>
      <xdr:rowOff>49530</xdr:rowOff>
    </xdr:from>
    <xdr:to>
      <xdr:col>6</xdr:col>
      <xdr:colOff>587269</xdr:colOff>
      <xdr:row>24</xdr:row>
      <xdr:rowOff>239</xdr:rowOff>
    </xdr:to>
    <xdr:sp macro="" textlink="">
      <xdr:nvSpPr>
        <xdr:cNvPr id="21" name="Rectangle 20">
          <a:extLst>
            <a:ext uri="{FF2B5EF4-FFF2-40B4-BE49-F238E27FC236}">
              <a16:creationId xmlns:a16="http://schemas.microsoft.com/office/drawing/2014/main" id="{00000000-0008-0000-0800-000015000000}"/>
            </a:ext>
          </a:extLst>
        </xdr:cNvPr>
        <xdr:cNvSpPr/>
      </xdr:nvSpPr>
      <xdr:spPr>
        <a:xfrm>
          <a:off x="3857625" y="4537710"/>
          <a:ext cx="161925" cy="133589"/>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436245</xdr:colOff>
      <xdr:row>24</xdr:row>
      <xdr:rowOff>47625</xdr:rowOff>
    </xdr:from>
    <xdr:to>
      <xdr:col>4</xdr:col>
      <xdr:colOff>596457</xdr:colOff>
      <xdr:row>24</xdr:row>
      <xdr:rowOff>183256</xdr:rowOff>
    </xdr:to>
    <xdr:sp macro="" textlink="">
      <xdr:nvSpPr>
        <xdr:cNvPr id="22" name="Rectangle 21">
          <a:extLst>
            <a:ext uri="{FF2B5EF4-FFF2-40B4-BE49-F238E27FC236}">
              <a16:creationId xmlns:a16="http://schemas.microsoft.com/office/drawing/2014/main" id="{00000000-0008-0000-0800-000016000000}"/>
            </a:ext>
          </a:extLst>
        </xdr:cNvPr>
        <xdr:cNvSpPr/>
      </xdr:nvSpPr>
      <xdr:spPr>
        <a:xfrm>
          <a:off x="2548890" y="471868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id-ID" sz="1100"/>
            <a:t>V</a:t>
          </a:r>
          <a:endParaRPr lang="en-US" sz="1100"/>
        </a:p>
      </xdr:txBody>
    </xdr:sp>
    <xdr:clientData/>
  </xdr:twoCellAnchor>
  <xdr:twoCellAnchor>
    <xdr:from>
      <xdr:col>4</xdr:col>
      <xdr:colOff>434340</xdr:colOff>
      <xdr:row>21</xdr:row>
      <xdr:rowOff>49530</xdr:rowOff>
    </xdr:from>
    <xdr:to>
      <xdr:col>4</xdr:col>
      <xdr:colOff>587269</xdr:colOff>
      <xdr:row>22</xdr:row>
      <xdr:rowOff>239</xdr:rowOff>
    </xdr:to>
    <xdr:sp macro="" textlink="">
      <xdr:nvSpPr>
        <xdr:cNvPr id="23" name="Rectangle 22">
          <a:extLst>
            <a:ext uri="{FF2B5EF4-FFF2-40B4-BE49-F238E27FC236}">
              <a16:creationId xmlns:a16="http://schemas.microsoft.com/office/drawing/2014/main" id="{00000000-0008-0000-0800-000017000000}"/>
            </a:ext>
          </a:extLst>
        </xdr:cNvPr>
        <xdr:cNvSpPr/>
      </xdr:nvSpPr>
      <xdr:spPr>
        <a:xfrm>
          <a:off x="2546985" y="4171950"/>
          <a:ext cx="161925" cy="133589"/>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id-ID" sz="1100"/>
            <a:t>V</a:t>
          </a:r>
          <a:endParaRPr lang="en-US" sz="1100"/>
        </a:p>
      </xdr:txBody>
    </xdr:sp>
    <xdr:clientData/>
  </xdr:twoCellAnchor>
  <xdr:twoCellAnchor>
    <xdr:from>
      <xdr:col>4</xdr:col>
      <xdr:colOff>436245</xdr:colOff>
      <xdr:row>22</xdr:row>
      <xdr:rowOff>47625</xdr:rowOff>
    </xdr:from>
    <xdr:to>
      <xdr:col>4</xdr:col>
      <xdr:colOff>596457</xdr:colOff>
      <xdr:row>22</xdr:row>
      <xdr:rowOff>183256</xdr:rowOff>
    </xdr:to>
    <xdr:sp macro="" textlink="">
      <xdr:nvSpPr>
        <xdr:cNvPr id="24" name="Rectangle 23">
          <a:extLst>
            <a:ext uri="{FF2B5EF4-FFF2-40B4-BE49-F238E27FC236}">
              <a16:creationId xmlns:a16="http://schemas.microsoft.com/office/drawing/2014/main" id="{00000000-0008-0000-0800-000018000000}"/>
            </a:ext>
          </a:extLst>
        </xdr:cNvPr>
        <xdr:cNvSpPr/>
      </xdr:nvSpPr>
      <xdr:spPr>
        <a:xfrm>
          <a:off x="2548890" y="435292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id-ID" sz="1100"/>
            <a:t>V</a:t>
          </a:r>
          <a:endParaRPr lang="en-US" sz="1100"/>
        </a:p>
      </xdr:txBody>
    </xdr:sp>
    <xdr:clientData/>
  </xdr:twoCellAnchor>
  <xdr:twoCellAnchor>
    <xdr:from>
      <xdr:col>4</xdr:col>
      <xdr:colOff>436245</xdr:colOff>
      <xdr:row>23</xdr:row>
      <xdr:rowOff>47625</xdr:rowOff>
    </xdr:from>
    <xdr:to>
      <xdr:col>4</xdr:col>
      <xdr:colOff>596457</xdr:colOff>
      <xdr:row>23</xdr:row>
      <xdr:rowOff>183256</xdr:rowOff>
    </xdr:to>
    <xdr:sp macro="" textlink="">
      <xdr:nvSpPr>
        <xdr:cNvPr id="25" name="Rectangle 24">
          <a:extLst>
            <a:ext uri="{FF2B5EF4-FFF2-40B4-BE49-F238E27FC236}">
              <a16:creationId xmlns:a16="http://schemas.microsoft.com/office/drawing/2014/main" id="{00000000-0008-0000-0800-000019000000}"/>
            </a:ext>
          </a:extLst>
        </xdr:cNvPr>
        <xdr:cNvSpPr/>
      </xdr:nvSpPr>
      <xdr:spPr>
        <a:xfrm>
          <a:off x="2548890" y="453580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434340</xdr:colOff>
      <xdr:row>21</xdr:row>
      <xdr:rowOff>47625</xdr:rowOff>
    </xdr:from>
    <xdr:to>
      <xdr:col>6</xdr:col>
      <xdr:colOff>587269</xdr:colOff>
      <xdr:row>21</xdr:row>
      <xdr:rowOff>183256</xdr:rowOff>
    </xdr:to>
    <xdr:sp macro="" textlink="">
      <xdr:nvSpPr>
        <xdr:cNvPr id="26" name="Rectangle 25">
          <a:extLst>
            <a:ext uri="{FF2B5EF4-FFF2-40B4-BE49-F238E27FC236}">
              <a16:creationId xmlns:a16="http://schemas.microsoft.com/office/drawing/2014/main" id="{00000000-0008-0000-0800-00001A000000}"/>
            </a:ext>
          </a:extLst>
        </xdr:cNvPr>
        <xdr:cNvSpPr/>
      </xdr:nvSpPr>
      <xdr:spPr>
        <a:xfrm>
          <a:off x="3857625" y="4170045"/>
          <a:ext cx="161925"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436245</xdr:colOff>
      <xdr:row>25</xdr:row>
      <xdr:rowOff>47625</xdr:rowOff>
    </xdr:from>
    <xdr:to>
      <xdr:col>8</xdr:col>
      <xdr:colOff>596457</xdr:colOff>
      <xdr:row>25</xdr:row>
      <xdr:rowOff>183256</xdr:rowOff>
    </xdr:to>
    <xdr:sp macro="" textlink="">
      <xdr:nvSpPr>
        <xdr:cNvPr id="27" name="Rectangle 26">
          <a:extLst>
            <a:ext uri="{FF2B5EF4-FFF2-40B4-BE49-F238E27FC236}">
              <a16:creationId xmlns:a16="http://schemas.microsoft.com/office/drawing/2014/main" id="{00000000-0008-0000-0800-00001B000000}"/>
            </a:ext>
          </a:extLst>
        </xdr:cNvPr>
        <xdr:cNvSpPr/>
      </xdr:nvSpPr>
      <xdr:spPr>
        <a:xfrm>
          <a:off x="5170170" y="490156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436245</xdr:colOff>
      <xdr:row>25</xdr:row>
      <xdr:rowOff>49530</xdr:rowOff>
    </xdr:from>
    <xdr:to>
      <xdr:col>6</xdr:col>
      <xdr:colOff>596457</xdr:colOff>
      <xdr:row>26</xdr:row>
      <xdr:rowOff>239</xdr:rowOff>
    </xdr:to>
    <xdr:sp macro="" textlink="">
      <xdr:nvSpPr>
        <xdr:cNvPr id="28" name="Rectangle 27">
          <a:extLst>
            <a:ext uri="{FF2B5EF4-FFF2-40B4-BE49-F238E27FC236}">
              <a16:creationId xmlns:a16="http://schemas.microsoft.com/office/drawing/2014/main" id="{00000000-0008-0000-0800-00001C000000}"/>
            </a:ext>
          </a:extLst>
        </xdr:cNvPr>
        <xdr:cNvSpPr/>
      </xdr:nvSpPr>
      <xdr:spPr>
        <a:xfrm>
          <a:off x="3859530" y="4903470"/>
          <a:ext cx="169636" cy="133589"/>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436245</xdr:colOff>
      <xdr:row>23</xdr:row>
      <xdr:rowOff>49530</xdr:rowOff>
    </xdr:from>
    <xdr:to>
      <xdr:col>8</xdr:col>
      <xdr:colOff>596457</xdr:colOff>
      <xdr:row>24</xdr:row>
      <xdr:rowOff>239</xdr:rowOff>
    </xdr:to>
    <xdr:sp macro="" textlink="">
      <xdr:nvSpPr>
        <xdr:cNvPr id="29" name="Rectangle 28">
          <a:extLst>
            <a:ext uri="{FF2B5EF4-FFF2-40B4-BE49-F238E27FC236}">
              <a16:creationId xmlns:a16="http://schemas.microsoft.com/office/drawing/2014/main" id="{00000000-0008-0000-0800-00001D000000}"/>
            </a:ext>
          </a:extLst>
        </xdr:cNvPr>
        <xdr:cNvSpPr/>
      </xdr:nvSpPr>
      <xdr:spPr>
        <a:xfrm>
          <a:off x="5170170" y="4537710"/>
          <a:ext cx="169636" cy="133589"/>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434340</xdr:colOff>
      <xdr:row>24</xdr:row>
      <xdr:rowOff>47625</xdr:rowOff>
    </xdr:from>
    <xdr:to>
      <xdr:col>6</xdr:col>
      <xdr:colOff>587269</xdr:colOff>
      <xdr:row>24</xdr:row>
      <xdr:rowOff>183256</xdr:rowOff>
    </xdr:to>
    <xdr:sp macro="" textlink="">
      <xdr:nvSpPr>
        <xdr:cNvPr id="30" name="Rectangle 29">
          <a:extLst>
            <a:ext uri="{FF2B5EF4-FFF2-40B4-BE49-F238E27FC236}">
              <a16:creationId xmlns:a16="http://schemas.microsoft.com/office/drawing/2014/main" id="{00000000-0008-0000-0800-00001E000000}"/>
            </a:ext>
          </a:extLst>
        </xdr:cNvPr>
        <xdr:cNvSpPr/>
      </xdr:nvSpPr>
      <xdr:spPr>
        <a:xfrm>
          <a:off x="3857625" y="4718685"/>
          <a:ext cx="161925"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5</xdr:col>
      <xdr:colOff>483870</xdr:colOff>
      <xdr:row>32</xdr:row>
      <xdr:rowOff>47625</xdr:rowOff>
    </xdr:from>
    <xdr:to>
      <xdr:col>6</xdr:col>
      <xdr:colOff>127</xdr:colOff>
      <xdr:row>32</xdr:row>
      <xdr:rowOff>183256</xdr:rowOff>
    </xdr:to>
    <xdr:sp macro="" textlink="">
      <xdr:nvSpPr>
        <xdr:cNvPr id="31" name="Rectangle 30">
          <a:extLst>
            <a:ext uri="{FF2B5EF4-FFF2-40B4-BE49-F238E27FC236}">
              <a16:creationId xmlns:a16="http://schemas.microsoft.com/office/drawing/2014/main" id="{00000000-0008-0000-0800-00001F000000}"/>
            </a:ext>
          </a:extLst>
        </xdr:cNvPr>
        <xdr:cNvSpPr/>
      </xdr:nvSpPr>
      <xdr:spPr>
        <a:xfrm>
          <a:off x="3251835" y="6288405"/>
          <a:ext cx="161925"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id-ID" sz="1100"/>
            <a:t>V</a:t>
          </a:r>
          <a:endParaRPr lang="en-US" sz="1100"/>
        </a:p>
      </xdr:txBody>
    </xdr:sp>
    <xdr:clientData/>
  </xdr:twoCellAnchor>
  <xdr:twoCellAnchor>
    <xdr:from>
      <xdr:col>4</xdr:col>
      <xdr:colOff>19050</xdr:colOff>
      <xdr:row>32</xdr:row>
      <xdr:rowOff>49530</xdr:rowOff>
    </xdr:from>
    <xdr:to>
      <xdr:col>4</xdr:col>
      <xdr:colOff>180975</xdr:colOff>
      <xdr:row>33</xdr:row>
      <xdr:rowOff>239</xdr:rowOff>
    </xdr:to>
    <xdr:sp macro="" textlink="">
      <xdr:nvSpPr>
        <xdr:cNvPr id="32" name="Rectangle 31">
          <a:extLst>
            <a:ext uri="{FF2B5EF4-FFF2-40B4-BE49-F238E27FC236}">
              <a16:creationId xmlns:a16="http://schemas.microsoft.com/office/drawing/2014/main" id="{00000000-0008-0000-0800-000020000000}"/>
            </a:ext>
          </a:extLst>
        </xdr:cNvPr>
        <xdr:cNvSpPr/>
      </xdr:nvSpPr>
      <xdr:spPr>
        <a:xfrm>
          <a:off x="2122170" y="6290310"/>
          <a:ext cx="161925" cy="133589"/>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483870</xdr:colOff>
      <xdr:row>32</xdr:row>
      <xdr:rowOff>38100</xdr:rowOff>
    </xdr:from>
    <xdr:to>
      <xdr:col>9</xdr:col>
      <xdr:colOff>127</xdr:colOff>
      <xdr:row>32</xdr:row>
      <xdr:rowOff>164043</xdr:rowOff>
    </xdr:to>
    <xdr:sp macro="" textlink="">
      <xdr:nvSpPr>
        <xdr:cNvPr id="33" name="Rectangle 32">
          <a:extLst>
            <a:ext uri="{FF2B5EF4-FFF2-40B4-BE49-F238E27FC236}">
              <a16:creationId xmlns:a16="http://schemas.microsoft.com/office/drawing/2014/main" id="{00000000-0008-0000-0800-000021000000}"/>
            </a:ext>
          </a:extLst>
        </xdr:cNvPr>
        <xdr:cNvSpPr/>
      </xdr:nvSpPr>
      <xdr:spPr>
        <a:xfrm>
          <a:off x="5217795" y="6278880"/>
          <a:ext cx="161925"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7</xdr:col>
      <xdr:colOff>209550</xdr:colOff>
      <xdr:row>32</xdr:row>
      <xdr:rowOff>38100</xdr:rowOff>
    </xdr:from>
    <xdr:to>
      <xdr:col>7</xdr:col>
      <xdr:colOff>369762</xdr:colOff>
      <xdr:row>32</xdr:row>
      <xdr:rowOff>164043</xdr:rowOff>
    </xdr:to>
    <xdr:sp macro="" textlink="">
      <xdr:nvSpPr>
        <xdr:cNvPr id="34" name="Rectangle 33">
          <a:extLst>
            <a:ext uri="{FF2B5EF4-FFF2-40B4-BE49-F238E27FC236}">
              <a16:creationId xmlns:a16="http://schemas.microsoft.com/office/drawing/2014/main" id="{00000000-0008-0000-0800-000022000000}"/>
            </a:ext>
          </a:extLst>
        </xdr:cNvPr>
        <xdr:cNvSpPr/>
      </xdr:nvSpPr>
      <xdr:spPr>
        <a:xfrm>
          <a:off x="4278630" y="6278880"/>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474345</xdr:colOff>
      <xdr:row>44</xdr:row>
      <xdr:rowOff>47625</xdr:rowOff>
    </xdr:from>
    <xdr:to>
      <xdr:col>4</xdr:col>
      <xdr:colOff>634343</xdr:colOff>
      <xdr:row>44</xdr:row>
      <xdr:rowOff>183256</xdr:rowOff>
    </xdr:to>
    <xdr:sp macro="" textlink="">
      <xdr:nvSpPr>
        <xdr:cNvPr id="35" name="Rectangle 34">
          <a:extLst>
            <a:ext uri="{FF2B5EF4-FFF2-40B4-BE49-F238E27FC236}">
              <a16:creationId xmlns:a16="http://schemas.microsoft.com/office/drawing/2014/main" id="{00000000-0008-0000-0800-000023000000}"/>
            </a:ext>
          </a:extLst>
        </xdr:cNvPr>
        <xdr:cNvSpPr/>
      </xdr:nvSpPr>
      <xdr:spPr>
        <a:xfrm>
          <a:off x="2586990" y="857440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474345</xdr:colOff>
      <xdr:row>46</xdr:row>
      <xdr:rowOff>47625</xdr:rowOff>
    </xdr:from>
    <xdr:to>
      <xdr:col>4</xdr:col>
      <xdr:colOff>634343</xdr:colOff>
      <xdr:row>46</xdr:row>
      <xdr:rowOff>183256</xdr:rowOff>
    </xdr:to>
    <xdr:sp macro="" textlink="">
      <xdr:nvSpPr>
        <xdr:cNvPr id="36" name="Rectangle 35">
          <a:extLst>
            <a:ext uri="{FF2B5EF4-FFF2-40B4-BE49-F238E27FC236}">
              <a16:creationId xmlns:a16="http://schemas.microsoft.com/office/drawing/2014/main" id="{00000000-0008-0000-0800-000024000000}"/>
            </a:ext>
          </a:extLst>
        </xdr:cNvPr>
        <xdr:cNvSpPr/>
      </xdr:nvSpPr>
      <xdr:spPr>
        <a:xfrm>
          <a:off x="2586990" y="894016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474345</xdr:colOff>
      <xdr:row>47</xdr:row>
      <xdr:rowOff>47625</xdr:rowOff>
    </xdr:from>
    <xdr:to>
      <xdr:col>4</xdr:col>
      <xdr:colOff>634343</xdr:colOff>
      <xdr:row>47</xdr:row>
      <xdr:rowOff>183256</xdr:rowOff>
    </xdr:to>
    <xdr:sp macro="" textlink="">
      <xdr:nvSpPr>
        <xdr:cNvPr id="37" name="Rectangle 36">
          <a:extLst>
            <a:ext uri="{FF2B5EF4-FFF2-40B4-BE49-F238E27FC236}">
              <a16:creationId xmlns:a16="http://schemas.microsoft.com/office/drawing/2014/main" id="{00000000-0008-0000-0800-000025000000}"/>
            </a:ext>
          </a:extLst>
        </xdr:cNvPr>
        <xdr:cNvSpPr/>
      </xdr:nvSpPr>
      <xdr:spPr>
        <a:xfrm>
          <a:off x="2586990" y="912304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a:t>V</a:t>
          </a:r>
        </a:p>
      </xdr:txBody>
    </xdr:sp>
    <xdr:clientData/>
  </xdr:twoCellAnchor>
  <xdr:twoCellAnchor>
    <xdr:from>
      <xdr:col>4</xdr:col>
      <xdr:colOff>474345</xdr:colOff>
      <xdr:row>48</xdr:row>
      <xdr:rowOff>47625</xdr:rowOff>
    </xdr:from>
    <xdr:to>
      <xdr:col>4</xdr:col>
      <xdr:colOff>634343</xdr:colOff>
      <xdr:row>48</xdr:row>
      <xdr:rowOff>183256</xdr:rowOff>
    </xdr:to>
    <xdr:sp macro="" textlink="">
      <xdr:nvSpPr>
        <xdr:cNvPr id="38" name="Rectangle 37">
          <a:extLst>
            <a:ext uri="{FF2B5EF4-FFF2-40B4-BE49-F238E27FC236}">
              <a16:creationId xmlns:a16="http://schemas.microsoft.com/office/drawing/2014/main" id="{00000000-0008-0000-0800-000026000000}"/>
            </a:ext>
          </a:extLst>
        </xdr:cNvPr>
        <xdr:cNvSpPr/>
      </xdr:nvSpPr>
      <xdr:spPr>
        <a:xfrm>
          <a:off x="2522220" y="9648825"/>
          <a:ext cx="159998" cy="135631"/>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474345</xdr:colOff>
      <xdr:row>49</xdr:row>
      <xdr:rowOff>47625</xdr:rowOff>
    </xdr:from>
    <xdr:to>
      <xdr:col>4</xdr:col>
      <xdr:colOff>634343</xdr:colOff>
      <xdr:row>49</xdr:row>
      <xdr:rowOff>183256</xdr:rowOff>
    </xdr:to>
    <xdr:sp macro="" textlink="">
      <xdr:nvSpPr>
        <xdr:cNvPr id="39" name="Rectangle 38">
          <a:extLst>
            <a:ext uri="{FF2B5EF4-FFF2-40B4-BE49-F238E27FC236}">
              <a16:creationId xmlns:a16="http://schemas.microsoft.com/office/drawing/2014/main" id="{00000000-0008-0000-0800-000027000000}"/>
            </a:ext>
          </a:extLst>
        </xdr:cNvPr>
        <xdr:cNvSpPr/>
      </xdr:nvSpPr>
      <xdr:spPr>
        <a:xfrm>
          <a:off x="2586990" y="948880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474345</xdr:colOff>
      <xdr:row>50</xdr:row>
      <xdr:rowOff>47625</xdr:rowOff>
    </xdr:from>
    <xdr:to>
      <xdr:col>4</xdr:col>
      <xdr:colOff>634343</xdr:colOff>
      <xdr:row>50</xdr:row>
      <xdr:rowOff>183256</xdr:rowOff>
    </xdr:to>
    <xdr:sp macro="" textlink="">
      <xdr:nvSpPr>
        <xdr:cNvPr id="40" name="Rectangle 39">
          <a:extLst>
            <a:ext uri="{FF2B5EF4-FFF2-40B4-BE49-F238E27FC236}">
              <a16:creationId xmlns:a16="http://schemas.microsoft.com/office/drawing/2014/main" id="{00000000-0008-0000-0800-000028000000}"/>
            </a:ext>
          </a:extLst>
        </xdr:cNvPr>
        <xdr:cNvSpPr/>
      </xdr:nvSpPr>
      <xdr:spPr>
        <a:xfrm>
          <a:off x="2586990" y="967168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474345</xdr:colOff>
      <xdr:row>44</xdr:row>
      <xdr:rowOff>47625</xdr:rowOff>
    </xdr:from>
    <xdr:to>
      <xdr:col>6</xdr:col>
      <xdr:colOff>634343</xdr:colOff>
      <xdr:row>44</xdr:row>
      <xdr:rowOff>183256</xdr:rowOff>
    </xdr:to>
    <xdr:sp macro="" textlink="">
      <xdr:nvSpPr>
        <xdr:cNvPr id="41" name="Rectangle 40">
          <a:extLst>
            <a:ext uri="{FF2B5EF4-FFF2-40B4-BE49-F238E27FC236}">
              <a16:creationId xmlns:a16="http://schemas.microsoft.com/office/drawing/2014/main" id="{00000000-0008-0000-0800-000029000000}"/>
            </a:ext>
          </a:extLst>
        </xdr:cNvPr>
        <xdr:cNvSpPr/>
      </xdr:nvSpPr>
      <xdr:spPr>
        <a:xfrm>
          <a:off x="3897630" y="857440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474345</xdr:colOff>
      <xdr:row>46</xdr:row>
      <xdr:rowOff>47625</xdr:rowOff>
    </xdr:from>
    <xdr:to>
      <xdr:col>6</xdr:col>
      <xdr:colOff>634343</xdr:colOff>
      <xdr:row>46</xdr:row>
      <xdr:rowOff>183256</xdr:rowOff>
    </xdr:to>
    <xdr:sp macro="" textlink="">
      <xdr:nvSpPr>
        <xdr:cNvPr id="42" name="Rectangle 41">
          <a:extLst>
            <a:ext uri="{FF2B5EF4-FFF2-40B4-BE49-F238E27FC236}">
              <a16:creationId xmlns:a16="http://schemas.microsoft.com/office/drawing/2014/main" id="{00000000-0008-0000-0800-00002A000000}"/>
            </a:ext>
          </a:extLst>
        </xdr:cNvPr>
        <xdr:cNvSpPr/>
      </xdr:nvSpPr>
      <xdr:spPr>
        <a:xfrm>
          <a:off x="3897630" y="894016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474345</xdr:colOff>
      <xdr:row>47</xdr:row>
      <xdr:rowOff>47625</xdr:rowOff>
    </xdr:from>
    <xdr:to>
      <xdr:col>6</xdr:col>
      <xdr:colOff>634343</xdr:colOff>
      <xdr:row>47</xdr:row>
      <xdr:rowOff>183256</xdr:rowOff>
    </xdr:to>
    <xdr:sp macro="" textlink="">
      <xdr:nvSpPr>
        <xdr:cNvPr id="43" name="Rectangle 42">
          <a:extLst>
            <a:ext uri="{FF2B5EF4-FFF2-40B4-BE49-F238E27FC236}">
              <a16:creationId xmlns:a16="http://schemas.microsoft.com/office/drawing/2014/main" id="{00000000-0008-0000-0800-00002B000000}"/>
            </a:ext>
          </a:extLst>
        </xdr:cNvPr>
        <xdr:cNvSpPr/>
      </xdr:nvSpPr>
      <xdr:spPr>
        <a:xfrm>
          <a:off x="3897630" y="912304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474345</xdr:colOff>
      <xdr:row>48</xdr:row>
      <xdr:rowOff>47625</xdr:rowOff>
    </xdr:from>
    <xdr:to>
      <xdr:col>6</xdr:col>
      <xdr:colOff>634343</xdr:colOff>
      <xdr:row>48</xdr:row>
      <xdr:rowOff>183256</xdr:rowOff>
    </xdr:to>
    <xdr:sp macro="" textlink="">
      <xdr:nvSpPr>
        <xdr:cNvPr id="44" name="Rectangle 43">
          <a:extLst>
            <a:ext uri="{FF2B5EF4-FFF2-40B4-BE49-F238E27FC236}">
              <a16:creationId xmlns:a16="http://schemas.microsoft.com/office/drawing/2014/main" id="{00000000-0008-0000-0800-00002C000000}"/>
            </a:ext>
          </a:extLst>
        </xdr:cNvPr>
        <xdr:cNvSpPr/>
      </xdr:nvSpPr>
      <xdr:spPr>
        <a:xfrm>
          <a:off x="3897630" y="930592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474345</xdr:colOff>
      <xdr:row>46</xdr:row>
      <xdr:rowOff>47625</xdr:rowOff>
    </xdr:from>
    <xdr:to>
      <xdr:col>8</xdr:col>
      <xdr:colOff>634343</xdr:colOff>
      <xdr:row>46</xdr:row>
      <xdr:rowOff>183256</xdr:rowOff>
    </xdr:to>
    <xdr:sp macro="" textlink="">
      <xdr:nvSpPr>
        <xdr:cNvPr id="45" name="Rectangle 44">
          <a:extLst>
            <a:ext uri="{FF2B5EF4-FFF2-40B4-BE49-F238E27FC236}">
              <a16:creationId xmlns:a16="http://schemas.microsoft.com/office/drawing/2014/main" id="{00000000-0008-0000-0800-00002D000000}"/>
            </a:ext>
          </a:extLst>
        </xdr:cNvPr>
        <xdr:cNvSpPr/>
      </xdr:nvSpPr>
      <xdr:spPr>
        <a:xfrm>
          <a:off x="5208270" y="894016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474345</xdr:colOff>
      <xdr:row>47</xdr:row>
      <xdr:rowOff>47625</xdr:rowOff>
    </xdr:from>
    <xdr:to>
      <xdr:col>8</xdr:col>
      <xdr:colOff>634343</xdr:colOff>
      <xdr:row>47</xdr:row>
      <xdr:rowOff>183256</xdr:rowOff>
    </xdr:to>
    <xdr:sp macro="" textlink="">
      <xdr:nvSpPr>
        <xdr:cNvPr id="46" name="Rectangle 45">
          <a:extLst>
            <a:ext uri="{FF2B5EF4-FFF2-40B4-BE49-F238E27FC236}">
              <a16:creationId xmlns:a16="http://schemas.microsoft.com/office/drawing/2014/main" id="{00000000-0008-0000-0800-00002E000000}"/>
            </a:ext>
          </a:extLst>
        </xdr:cNvPr>
        <xdr:cNvSpPr/>
      </xdr:nvSpPr>
      <xdr:spPr>
        <a:xfrm>
          <a:off x="5208270" y="912304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474345</xdr:colOff>
      <xdr:row>49</xdr:row>
      <xdr:rowOff>47625</xdr:rowOff>
    </xdr:from>
    <xdr:to>
      <xdr:col>8</xdr:col>
      <xdr:colOff>634343</xdr:colOff>
      <xdr:row>49</xdr:row>
      <xdr:rowOff>183256</xdr:rowOff>
    </xdr:to>
    <xdr:sp macro="" textlink="">
      <xdr:nvSpPr>
        <xdr:cNvPr id="47" name="Rectangle 46">
          <a:extLst>
            <a:ext uri="{FF2B5EF4-FFF2-40B4-BE49-F238E27FC236}">
              <a16:creationId xmlns:a16="http://schemas.microsoft.com/office/drawing/2014/main" id="{00000000-0008-0000-0800-00002F000000}"/>
            </a:ext>
          </a:extLst>
        </xdr:cNvPr>
        <xdr:cNvSpPr/>
      </xdr:nvSpPr>
      <xdr:spPr>
        <a:xfrm>
          <a:off x="5208270" y="948880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474345</xdr:colOff>
      <xdr:row>51</xdr:row>
      <xdr:rowOff>47625</xdr:rowOff>
    </xdr:from>
    <xdr:to>
      <xdr:col>4</xdr:col>
      <xdr:colOff>634343</xdr:colOff>
      <xdr:row>51</xdr:row>
      <xdr:rowOff>183256</xdr:rowOff>
    </xdr:to>
    <xdr:sp macro="" textlink="">
      <xdr:nvSpPr>
        <xdr:cNvPr id="48" name="Rectangle 47">
          <a:extLst>
            <a:ext uri="{FF2B5EF4-FFF2-40B4-BE49-F238E27FC236}">
              <a16:creationId xmlns:a16="http://schemas.microsoft.com/office/drawing/2014/main" id="{00000000-0008-0000-0800-000030000000}"/>
            </a:ext>
          </a:extLst>
        </xdr:cNvPr>
        <xdr:cNvSpPr/>
      </xdr:nvSpPr>
      <xdr:spPr>
        <a:xfrm>
          <a:off x="2586990" y="985456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474345</xdr:colOff>
      <xdr:row>52</xdr:row>
      <xdr:rowOff>47625</xdr:rowOff>
    </xdr:from>
    <xdr:to>
      <xdr:col>4</xdr:col>
      <xdr:colOff>634343</xdr:colOff>
      <xdr:row>52</xdr:row>
      <xdr:rowOff>183256</xdr:rowOff>
    </xdr:to>
    <xdr:sp macro="" textlink="">
      <xdr:nvSpPr>
        <xdr:cNvPr id="49" name="Rectangle 48">
          <a:extLst>
            <a:ext uri="{FF2B5EF4-FFF2-40B4-BE49-F238E27FC236}">
              <a16:creationId xmlns:a16="http://schemas.microsoft.com/office/drawing/2014/main" id="{00000000-0008-0000-0800-000031000000}"/>
            </a:ext>
          </a:extLst>
        </xdr:cNvPr>
        <xdr:cNvSpPr/>
      </xdr:nvSpPr>
      <xdr:spPr>
        <a:xfrm>
          <a:off x="2586990" y="1003744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id-ID" sz="1100"/>
            <a:t>V</a:t>
          </a:r>
          <a:endParaRPr lang="en-US" sz="1100"/>
        </a:p>
      </xdr:txBody>
    </xdr:sp>
    <xdr:clientData/>
  </xdr:twoCellAnchor>
  <xdr:twoCellAnchor>
    <xdr:from>
      <xdr:col>4</xdr:col>
      <xdr:colOff>474345</xdr:colOff>
      <xdr:row>53</xdr:row>
      <xdr:rowOff>47625</xdr:rowOff>
    </xdr:from>
    <xdr:to>
      <xdr:col>4</xdr:col>
      <xdr:colOff>634343</xdr:colOff>
      <xdr:row>53</xdr:row>
      <xdr:rowOff>183256</xdr:rowOff>
    </xdr:to>
    <xdr:sp macro="" textlink="">
      <xdr:nvSpPr>
        <xdr:cNvPr id="50" name="Rectangle 49">
          <a:extLst>
            <a:ext uri="{FF2B5EF4-FFF2-40B4-BE49-F238E27FC236}">
              <a16:creationId xmlns:a16="http://schemas.microsoft.com/office/drawing/2014/main" id="{00000000-0008-0000-0800-000032000000}"/>
            </a:ext>
          </a:extLst>
        </xdr:cNvPr>
        <xdr:cNvSpPr/>
      </xdr:nvSpPr>
      <xdr:spPr>
        <a:xfrm>
          <a:off x="2586990" y="1022032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id-ID" sz="1100"/>
            <a:t>V</a:t>
          </a:r>
          <a:endParaRPr lang="en-US" sz="1100"/>
        </a:p>
      </xdr:txBody>
    </xdr:sp>
    <xdr:clientData/>
  </xdr:twoCellAnchor>
  <xdr:twoCellAnchor>
    <xdr:from>
      <xdr:col>4</xdr:col>
      <xdr:colOff>474345</xdr:colOff>
      <xdr:row>54</xdr:row>
      <xdr:rowOff>47625</xdr:rowOff>
    </xdr:from>
    <xdr:to>
      <xdr:col>4</xdr:col>
      <xdr:colOff>634343</xdr:colOff>
      <xdr:row>54</xdr:row>
      <xdr:rowOff>183256</xdr:rowOff>
    </xdr:to>
    <xdr:sp macro="" textlink="">
      <xdr:nvSpPr>
        <xdr:cNvPr id="51" name="Rectangle 50">
          <a:extLst>
            <a:ext uri="{FF2B5EF4-FFF2-40B4-BE49-F238E27FC236}">
              <a16:creationId xmlns:a16="http://schemas.microsoft.com/office/drawing/2014/main" id="{00000000-0008-0000-0800-000033000000}"/>
            </a:ext>
          </a:extLst>
        </xdr:cNvPr>
        <xdr:cNvSpPr/>
      </xdr:nvSpPr>
      <xdr:spPr>
        <a:xfrm>
          <a:off x="2586990" y="1040320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a:t>V</a:t>
          </a:r>
        </a:p>
      </xdr:txBody>
    </xdr:sp>
    <xdr:clientData/>
  </xdr:twoCellAnchor>
  <xdr:twoCellAnchor>
    <xdr:from>
      <xdr:col>8</xdr:col>
      <xdr:colOff>474345</xdr:colOff>
      <xdr:row>53</xdr:row>
      <xdr:rowOff>47625</xdr:rowOff>
    </xdr:from>
    <xdr:to>
      <xdr:col>8</xdr:col>
      <xdr:colOff>634343</xdr:colOff>
      <xdr:row>53</xdr:row>
      <xdr:rowOff>183256</xdr:rowOff>
    </xdr:to>
    <xdr:sp macro="" textlink="">
      <xdr:nvSpPr>
        <xdr:cNvPr id="52" name="Rectangle 51">
          <a:extLst>
            <a:ext uri="{FF2B5EF4-FFF2-40B4-BE49-F238E27FC236}">
              <a16:creationId xmlns:a16="http://schemas.microsoft.com/office/drawing/2014/main" id="{00000000-0008-0000-0800-000034000000}"/>
            </a:ext>
          </a:extLst>
        </xdr:cNvPr>
        <xdr:cNvSpPr/>
      </xdr:nvSpPr>
      <xdr:spPr>
        <a:xfrm>
          <a:off x="5208270" y="1022032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474345</xdr:colOff>
      <xdr:row>52</xdr:row>
      <xdr:rowOff>47625</xdr:rowOff>
    </xdr:from>
    <xdr:to>
      <xdr:col>8</xdr:col>
      <xdr:colOff>634343</xdr:colOff>
      <xdr:row>52</xdr:row>
      <xdr:rowOff>183256</xdr:rowOff>
    </xdr:to>
    <xdr:sp macro="" textlink="">
      <xdr:nvSpPr>
        <xdr:cNvPr id="53" name="Rectangle 52">
          <a:extLst>
            <a:ext uri="{FF2B5EF4-FFF2-40B4-BE49-F238E27FC236}">
              <a16:creationId xmlns:a16="http://schemas.microsoft.com/office/drawing/2014/main" id="{00000000-0008-0000-0800-000035000000}"/>
            </a:ext>
          </a:extLst>
        </xdr:cNvPr>
        <xdr:cNvSpPr/>
      </xdr:nvSpPr>
      <xdr:spPr>
        <a:xfrm>
          <a:off x="5208270" y="1003744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474345</xdr:colOff>
      <xdr:row>51</xdr:row>
      <xdr:rowOff>47625</xdr:rowOff>
    </xdr:from>
    <xdr:to>
      <xdr:col>8</xdr:col>
      <xdr:colOff>634343</xdr:colOff>
      <xdr:row>51</xdr:row>
      <xdr:rowOff>183256</xdr:rowOff>
    </xdr:to>
    <xdr:sp macro="" textlink="">
      <xdr:nvSpPr>
        <xdr:cNvPr id="54" name="Rectangle 53">
          <a:extLst>
            <a:ext uri="{FF2B5EF4-FFF2-40B4-BE49-F238E27FC236}">
              <a16:creationId xmlns:a16="http://schemas.microsoft.com/office/drawing/2014/main" id="{00000000-0008-0000-0800-000036000000}"/>
            </a:ext>
          </a:extLst>
        </xdr:cNvPr>
        <xdr:cNvSpPr/>
      </xdr:nvSpPr>
      <xdr:spPr>
        <a:xfrm>
          <a:off x="5208270" y="985456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5</xdr:col>
      <xdr:colOff>545941</xdr:colOff>
      <xdr:row>76</xdr:row>
      <xdr:rowOff>10319</xdr:rowOff>
    </xdr:from>
    <xdr:to>
      <xdr:col>5</xdr:col>
      <xdr:colOff>547529</xdr:colOff>
      <xdr:row>82</xdr:row>
      <xdr:rowOff>10319</xdr:rowOff>
    </xdr:to>
    <xdr:cxnSp macro="">
      <xdr:nvCxnSpPr>
        <xdr:cNvPr id="55" name="Straight Connector 54">
          <a:extLst>
            <a:ext uri="{FF2B5EF4-FFF2-40B4-BE49-F238E27FC236}">
              <a16:creationId xmlns:a16="http://schemas.microsoft.com/office/drawing/2014/main" id="{00000000-0008-0000-0800-000037000000}"/>
            </a:ext>
          </a:extLst>
        </xdr:cNvPr>
        <xdr:cNvCxnSpPr/>
      </xdr:nvCxnSpPr>
      <xdr:spPr>
        <a:xfrm rot="5400000">
          <a:off x="2766060" y="14479905"/>
          <a:ext cx="1097280" cy="1588"/>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474345</xdr:colOff>
      <xdr:row>42</xdr:row>
      <xdr:rowOff>47625</xdr:rowOff>
    </xdr:from>
    <xdr:to>
      <xdr:col>4</xdr:col>
      <xdr:colOff>634343</xdr:colOff>
      <xdr:row>42</xdr:row>
      <xdr:rowOff>183256</xdr:rowOff>
    </xdr:to>
    <xdr:sp macro="" textlink="">
      <xdr:nvSpPr>
        <xdr:cNvPr id="56" name="Rectangle 55">
          <a:extLst>
            <a:ext uri="{FF2B5EF4-FFF2-40B4-BE49-F238E27FC236}">
              <a16:creationId xmlns:a16="http://schemas.microsoft.com/office/drawing/2014/main" id="{00000000-0008-0000-0800-000038000000}"/>
            </a:ext>
          </a:extLst>
        </xdr:cNvPr>
        <xdr:cNvSpPr/>
      </xdr:nvSpPr>
      <xdr:spPr>
        <a:xfrm>
          <a:off x="2586990" y="820864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474345</xdr:colOff>
      <xdr:row>43</xdr:row>
      <xdr:rowOff>47625</xdr:rowOff>
    </xdr:from>
    <xdr:to>
      <xdr:col>4</xdr:col>
      <xdr:colOff>634343</xdr:colOff>
      <xdr:row>43</xdr:row>
      <xdr:rowOff>183256</xdr:rowOff>
    </xdr:to>
    <xdr:sp macro="" textlink="">
      <xdr:nvSpPr>
        <xdr:cNvPr id="57" name="Rectangle 56">
          <a:extLst>
            <a:ext uri="{FF2B5EF4-FFF2-40B4-BE49-F238E27FC236}">
              <a16:creationId xmlns:a16="http://schemas.microsoft.com/office/drawing/2014/main" id="{00000000-0008-0000-0800-000039000000}"/>
            </a:ext>
          </a:extLst>
        </xdr:cNvPr>
        <xdr:cNvSpPr/>
      </xdr:nvSpPr>
      <xdr:spPr>
        <a:xfrm>
          <a:off x="2586990" y="839152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id-ID" sz="1100"/>
            <a:t>V</a:t>
          </a:r>
          <a:endParaRPr lang="en-US" sz="1100"/>
        </a:p>
      </xdr:txBody>
    </xdr:sp>
    <xdr:clientData/>
  </xdr:twoCellAnchor>
  <xdr:twoCellAnchor>
    <xdr:from>
      <xdr:col>6</xdr:col>
      <xdr:colOff>474345</xdr:colOff>
      <xdr:row>43</xdr:row>
      <xdr:rowOff>47625</xdr:rowOff>
    </xdr:from>
    <xdr:to>
      <xdr:col>6</xdr:col>
      <xdr:colOff>634343</xdr:colOff>
      <xdr:row>43</xdr:row>
      <xdr:rowOff>183256</xdr:rowOff>
    </xdr:to>
    <xdr:sp macro="" textlink="">
      <xdr:nvSpPr>
        <xdr:cNvPr id="58" name="Rectangle 57">
          <a:extLst>
            <a:ext uri="{FF2B5EF4-FFF2-40B4-BE49-F238E27FC236}">
              <a16:creationId xmlns:a16="http://schemas.microsoft.com/office/drawing/2014/main" id="{00000000-0008-0000-0800-00003A000000}"/>
            </a:ext>
          </a:extLst>
        </xdr:cNvPr>
        <xdr:cNvSpPr/>
      </xdr:nvSpPr>
      <xdr:spPr>
        <a:xfrm>
          <a:off x="3897630" y="839152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474345</xdr:colOff>
      <xdr:row>42</xdr:row>
      <xdr:rowOff>47625</xdr:rowOff>
    </xdr:from>
    <xdr:to>
      <xdr:col>6</xdr:col>
      <xdr:colOff>634343</xdr:colOff>
      <xdr:row>42</xdr:row>
      <xdr:rowOff>183256</xdr:rowOff>
    </xdr:to>
    <xdr:sp macro="" textlink="">
      <xdr:nvSpPr>
        <xdr:cNvPr id="59" name="Rectangle 58">
          <a:extLst>
            <a:ext uri="{FF2B5EF4-FFF2-40B4-BE49-F238E27FC236}">
              <a16:creationId xmlns:a16="http://schemas.microsoft.com/office/drawing/2014/main" id="{00000000-0008-0000-0800-00003B000000}"/>
            </a:ext>
          </a:extLst>
        </xdr:cNvPr>
        <xdr:cNvSpPr/>
      </xdr:nvSpPr>
      <xdr:spPr>
        <a:xfrm>
          <a:off x="3897630" y="820864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474345</xdr:colOff>
      <xdr:row>42</xdr:row>
      <xdr:rowOff>47625</xdr:rowOff>
    </xdr:from>
    <xdr:to>
      <xdr:col>8</xdr:col>
      <xdr:colOff>634343</xdr:colOff>
      <xdr:row>42</xdr:row>
      <xdr:rowOff>183256</xdr:rowOff>
    </xdr:to>
    <xdr:sp macro="" textlink="">
      <xdr:nvSpPr>
        <xdr:cNvPr id="60" name="Rectangle 59">
          <a:extLst>
            <a:ext uri="{FF2B5EF4-FFF2-40B4-BE49-F238E27FC236}">
              <a16:creationId xmlns:a16="http://schemas.microsoft.com/office/drawing/2014/main" id="{00000000-0008-0000-0800-00003C000000}"/>
            </a:ext>
          </a:extLst>
        </xdr:cNvPr>
        <xdr:cNvSpPr/>
      </xdr:nvSpPr>
      <xdr:spPr>
        <a:xfrm>
          <a:off x="5208270" y="820864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474345</xdr:colOff>
      <xdr:row>43</xdr:row>
      <xdr:rowOff>47625</xdr:rowOff>
    </xdr:from>
    <xdr:to>
      <xdr:col>8</xdr:col>
      <xdr:colOff>634343</xdr:colOff>
      <xdr:row>43</xdr:row>
      <xdr:rowOff>183256</xdr:rowOff>
    </xdr:to>
    <xdr:sp macro="" textlink="">
      <xdr:nvSpPr>
        <xdr:cNvPr id="61" name="Rectangle 60">
          <a:extLst>
            <a:ext uri="{FF2B5EF4-FFF2-40B4-BE49-F238E27FC236}">
              <a16:creationId xmlns:a16="http://schemas.microsoft.com/office/drawing/2014/main" id="{00000000-0008-0000-0800-00003D000000}"/>
            </a:ext>
          </a:extLst>
        </xdr:cNvPr>
        <xdr:cNvSpPr/>
      </xdr:nvSpPr>
      <xdr:spPr>
        <a:xfrm>
          <a:off x="5208270" y="839152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474345</xdr:colOff>
      <xdr:row>45</xdr:row>
      <xdr:rowOff>47625</xdr:rowOff>
    </xdr:from>
    <xdr:to>
      <xdr:col>4</xdr:col>
      <xdr:colOff>634343</xdr:colOff>
      <xdr:row>45</xdr:row>
      <xdr:rowOff>183256</xdr:rowOff>
    </xdr:to>
    <xdr:sp macro="" textlink="">
      <xdr:nvSpPr>
        <xdr:cNvPr id="62" name="Rectangle 61">
          <a:extLst>
            <a:ext uri="{FF2B5EF4-FFF2-40B4-BE49-F238E27FC236}">
              <a16:creationId xmlns:a16="http://schemas.microsoft.com/office/drawing/2014/main" id="{00000000-0008-0000-0800-00003E000000}"/>
            </a:ext>
          </a:extLst>
        </xdr:cNvPr>
        <xdr:cNvSpPr/>
      </xdr:nvSpPr>
      <xdr:spPr>
        <a:xfrm>
          <a:off x="2586990" y="875728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474345</xdr:colOff>
      <xdr:row>45</xdr:row>
      <xdr:rowOff>47625</xdr:rowOff>
    </xdr:from>
    <xdr:to>
      <xdr:col>6</xdr:col>
      <xdr:colOff>634343</xdr:colOff>
      <xdr:row>45</xdr:row>
      <xdr:rowOff>183256</xdr:rowOff>
    </xdr:to>
    <xdr:sp macro="" textlink="">
      <xdr:nvSpPr>
        <xdr:cNvPr id="63" name="Rectangle 62">
          <a:extLst>
            <a:ext uri="{FF2B5EF4-FFF2-40B4-BE49-F238E27FC236}">
              <a16:creationId xmlns:a16="http://schemas.microsoft.com/office/drawing/2014/main" id="{00000000-0008-0000-0800-00003F000000}"/>
            </a:ext>
          </a:extLst>
        </xdr:cNvPr>
        <xdr:cNvSpPr/>
      </xdr:nvSpPr>
      <xdr:spPr>
        <a:xfrm>
          <a:off x="3897630" y="875728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474345</xdr:colOff>
      <xdr:row>50</xdr:row>
      <xdr:rowOff>47625</xdr:rowOff>
    </xdr:from>
    <xdr:to>
      <xdr:col>8</xdr:col>
      <xdr:colOff>634343</xdr:colOff>
      <xdr:row>50</xdr:row>
      <xdr:rowOff>183256</xdr:rowOff>
    </xdr:to>
    <xdr:sp macro="" textlink="">
      <xdr:nvSpPr>
        <xdr:cNvPr id="64" name="Rectangle 63">
          <a:extLst>
            <a:ext uri="{FF2B5EF4-FFF2-40B4-BE49-F238E27FC236}">
              <a16:creationId xmlns:a16="http://schemas.microsoft.com/office/drawing/2014/main" id="{00000000-0008-0000-0800-000040000000}"/>
            </a:ext>
          </a:extLst>
        </xdr:cNvPr>
        <xdr:cNvSpPr/>
      </xdr:nvSpPr>
      <xdr:spPr>
        <a:xfrm>
          <a:off x="5208270" y="967168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474345</xdr:colOff>
      <xdr:row>53</xdr:row>
      <xdr:rowOff>47625</xdr:rowOff>
    </xdr:from>
    <xdr:to>
      <xdr:col>6</xdr:col>
      <xdr:colOff>634343</xdr:colOff>
      <xdr:row>53</xdr:row>
      <xdr:rowOff>183256</xdr:rowOff>
    </xdr:to>
    <xdr:sp macro="" textlink="">
      <xdr:nvSpPr>
        <xdr:cNvPr id="65" name="Rectangle 64">
          <a:extLst>
            <a:ext uri="{FF2B5EF4-FFF2-40B4-BE49-F238E27FC236}">
              <a16:creationId xmlns:a16="http://schemas.microsoft.com/office/drawing/2014/main" id="{00000000-0008-0000-0800-000041000000}"/>
            </a:ext>
          </a:extLst>
        </xdr:cNvPr>
        <xdr:cNvSpPr/>
      </xdr:nvSpPr>
      <xdr:spPr>
        <a:xfrm>
          <a:off x="3897630" y="1022032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474345</xdr:colOff>
      <xdr:row>54</xdr:row>
      <xdr:rowOff>47625</xdr:rowOff>
    </xdr:from>
    <xdr:to>
      <xdr:col>6</xdr:col>
      <xdr:colOff>634343</xdr:colOff>
      <xdr:row>54</xdr:row>
      <xdr:rowOff>183256</xdr:rowOff>
    </xdr:to>
    <xdr:sp macro="" textlink="">
      <xdr:nvSpPr>
        <xdr:cNvPr id="66" name="Rectangle 65">
          <a:extLst>
            <a:ext uri="{FF2B5EF4-FFF2-40B4-BE49-F238E27FC236}">
              <a16:creationId xmlns:a16="http://schemas.microsoft.com/office/drawing/2014/main" id="{00000000-0008-0000-0800-000042000000}"/>
            </a:ext>
          </a:extLst>
        </xdr:cNvPr>
        <xdr:cNvSpPr/>
      </xdr:nvSpPr>
      <xdr:spPr>
        <a:xfrm>
          <a:off x="3897630" y="1040320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200024</xdr:colOff>
      <xdr:row>2</xdr:row>
      <xdr:rowOff>28574</xdr:rowOff>
    </xdr:from>
    <xdr:to>
      <xdr:col>13</xdr:col>
      <xdr:colOff>1581150</xdr:colOff>
      <xdr:row>24</xdr:row>
      <xdr:rowOff>85725</xdr:rowOff>
    </xdr:to>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200024" y="409574"/>
          <a:ext cx="7448551" cy="4248151"/>
        </a:xfrm>
        <a:prstGeom prst="rect">
          <a:avLst/>
        </a:prstGeom>
        <a:solidFill>
          <a:schemeClr val="bg1"/>
        </a:solidFill>
        <a:ln/>
      </xdr:spPr>
      <xdr:style>
        <a:lnRef idx="2">
          <a:schemeClr val="accent6"/>
        </a:lnRef>
        <a:fillRef idx="1">
          <a:schemeClr val="lt1"/>
        </a:fillRef>
        <a:effectRef idx="0">
          <a:schemeClr val="accent6"/>
        </a:effectRef>
        <a:fontRef idx="minor">
          <a:schemeClr val="dk1"/>
        </a:fontRef>
      </xdr:style>
      <xdr:txBody>
        <a:bodyPr wrap="square" rtlCol="0" anchor="t"/>
        <a:lstStyle/>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a:p>
          <a:endParaRPr lang="en-US" sz="1100"/>
        </a:p>
      </xdr:txBody>
    </xdr:sp>
    <xdr:clientData/>
  </xdr:twoCellAnchor>
  <xdr:oneCellAnchor>
    <xdr:from>
      <xdr:col>15</xdr:col>
      <xdr:colOff>447675</xdr:colOff>
      <xdr:row>3</xdr:row>
      <xdr:rowOff>114300</xdr:rowOff>
    </xdr:from>
    <xdr:ext cx="194454" cy="283457"/>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7410450" y="286702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14</xdr:col>
      <xdr:colOff>466725</xdr:colOff>
      <xdr:row>9</xdr:row>
      <xdr:rowOff>133350</xdr:rowOff>
    </xdr:from>
    <xdr:ext cx="194454" cy="283457"/>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6962775" y="302037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12</xdr:col>
      <xdr:colOff>485779</xdr:colOff>
      <xdr:row>4</xdr:row>
      <xdr:rowOff>180979</xdr:rowOff>
    </xdr:from>
    <xdr:to>
      <xdr:col>12</xdr:col>
      <xdr:colOff>895350</xdr:colOff>
      <xdr:row>6</xdr:row>
      <xdr:rowOff>47625</xdr:rowOff>
    </xdr:to>
    <xdr:cxnSp macro="">
      <xdr:nvCxnSpPr>
        <xdr:cNvPr id="8" name="Straight Connector 7">
          <a:extLst>
            <a:ext uri="{FF2B5EF4-FFF2-40B4-BE49-F238E27FC236}">
              <a16:creationId xmlns:a16="http://schemas.microsoft.com/office/drawing/2014/main" id="{00000000-0008-0000-0C00-000008000000}"/>
            </a:ext>
          </a:extLst>
        </xdr:cNvPr>
        <xdr:cNvCxnSpPr/>
      </xdr:nvCxnSpPr>
      <xdr:spPr>
        <a:xfrm>
          <a:off x="4772029" y="5514979"/>
          <a:ext cx="409571" cy="24764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200025</xdr:colOff>
      <xdr:row>11</xdr:row>
      <xdr:rowOff>38100</xdr:rowOff>
    </xdr:from>
    <xdr:to>
      <xdr:col>20</xdr:col>
      <xdr:colOff>514350</xdr:colOff>
      <xdr:row>12</xdr:row>
      <xdr:rowOff>171450</xdr:rowOff>
    </xdr:to>
    <xdr:pic>
      <xdr:nvPicPr>
        <xdr:cNvPr id="9" name="Picture 1">
          <a:extLst>
            <a:ext uri="{FF2B5EF4-FFF2-40B4-BE49-F238E27FC236}">
              <a16:creationId xmlns:a16="http://schemas.microsoft.com/office/drawing/2014/main" id="{00000000-0008-0000-0C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925050" y="6134100"/>
          <a:ext cx="314325" cy="323850"/>
        </a:xfrm>
        <a:prstGeom prst="rect">
          <a:avLst/>
        </a:prstGeom>
        <a:noFill/>
        <a:ln w="9525">
          <a:noFill/>
          <a:miter lim="800000"/>
          <a:headEnd/>
          <a:tailEnd/>
        </a:ln>
      </xdr:spPr>
    </xdr:pic>
    <xdr:clientData/>
  </xdr:twoCellAnchor>
  <xdr:twoCellAnchor>
    <xdr:from>
      <xdr:col>16</xdr:col>
      <xdr:colOff>409576</xdr:colOff>
      <xdr:row>7</xdr:row>
      <xdr:rowOff>285750</xdr:rowOff>
    </xdr:from>
    <xdr:to>
      <xdr:col>19</xdr:col>
      <xdr:colOff>19051</xdr:colOff>
      <xdr:row>8</xdr:row>
      <xdr:rowOff>180975</xdr:rowOff>
    </xdr:to>
    <xdr:sp macro="" textlink="">
      <xdr:nvSpPr>
        <xdr:cNvPr id="11" name="Freeform 10">
          <a:extLst>
            <a:ext uri="{FF2B5EF4-FFF2-40B4-BE49-F238E27FC236}">
              <a16:creationId xmlns:a16="http://schemas.microsoft.com/office/drawing/2014/main" id="{00000000-0008-0000-0C00-00000B000000}"/>
            </a:ext>
          </a:extLst>
        </xdr:cNvPr>
        <xdr:cNvSpPr/>
      </xdr:nvSpPr>
      <xdr:spPr>
        <a:xfrm>
          <a:off x="7981951" y="29032200"/>
          <a:ext cx="1257300" cy="457200"/>
        </a:xfrm>
        <a:custGeom>
          <a:avLst/>
          <a:gdLst>
            <a:gd name="connsiteX0" fmla="*/ 0 w 2681288"/>
            <a:gd name="connsiteY0" fmla="*/ 0 h 2763838"/>
            <a:gd name="connsiteX1" fmla="*/ 571500 w 2681288"/>
            <a:gd name="connsiteY1" fmla="*/ 1457325 h 2763838"/>
            <a:gd name="connsiteX2" fmla="*/ 1371600 w 2681288"/>
            <a:gd name="connsiteY2" fmla="*/ 1800225 h 2763838"/>
            <a:gd name="connsiteX3" fmla="*/ 1981200 w 2681288"/>
            <a:gd name="connsiteY3" fmla="*/ 1666875 h 2763838"/>
            <a:gd name="connsiteX4" fmla="*/ 2581275 w 2681288"/>
            <a:gd name="connsiteY4" fmla="*/ 2609850 h 2763838"/>
            <a:gd name="connsiteX5" fmla="*/ 2581275 w 2681288"/>
            <a:gd name="connsiteY5" fmla="*/ 2590800 h 27638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681288" h="2763838">
              <a:moveTo>
                <a:pt x="0" y="0"/>
              </a:moveTo>
              <a:cubicBezTo>
                <a:pt x="171450" y="578643"/>
                <a:pt x="342900" y="1157287"/>
                <a:pt x="571500" y="1457325"/>
              </a:cubicBezTo>
              <a:cubicBezTo>
                <a:pt x="800100" y="1757363"/>
                <a:pt x="1136650" y="1765300"/>
                <a:pt x="1371600" y="1800225"/>
              </a:cubicBezTo>
              <a:cubicBezTo>
                <a:pt x="1606550" y="1835150"/>
                <a:pt x="1779588" y="1531938"/>
                <a:pt x="1981200" y="1666875"/>
              </a:cubicBezTo>
              <a:cubicBezTo>
                <a:pt x="2182812" y="1801812"/>
                <a:pt x="2481263" y="2455863"/>
                <a:pt x="2581275" y="2609850"/>
              </a:cubicBezTo>
              <a:cubicBezTo>
                <a:pt x="2681288" y="2763838"/>
                <a:pt x="2631281" y="2677319"/>
                <a:pt x="2581275" y="2590800"/>
              </a:cubicBezTo>
            </a:path>
          </a:pathLst>
        </a:cu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16</xdr:col>
      <xdr:colOff>142875</xdr:colOff>
      <xdr:row>10</xdr:row>
      <xdr:rowOff>104774</xdr:rowOff>
    </xdr:from>
    <xdr:to>
      <xdr:col>18</xdr:col>
      <xdr:colOff>466725</xdr:colOff>
      <xdr:row>13</xdr:row>
      <xdr:rowOff>85725</xdr:rowOff>
    </xdr:to>
    <xdr:sp macro="" textlink="">
      <xdr:nvSpPr>
        <xdr:cNvPr id="12" name="Freeform 11">
          <a:extLst>
            <a:ext uri="{FF2B5EF4-FFF2-40B4-BE49-F238E27FC236}">
              <a16:creationId xmlns:a16="http://schemas.microsoft.com/office/drawing/2014/main" id="{00000000-0008-0000-0C00-00000C000000}"/>
            </a:ext>
          </a:extLst>
        </xdr:cNvPr>
        <xdr:cNvSpPr/>
      </xdr:nvSpPr>
      <xdr:spPr>
        <a:xfrm>
          <a:off x="7715250" y="29794199"/>
          <a:ext cx="1362075" cy="552451"/>
        </a:xfrm>
        <a:custGeom>
          <a:avLst/>
          <a:gdLst>
            <a:gd name="connsiteX0" fmla="*/ 0 w 2681288"/>
            <a:gd name="connsiteY0" fmla="*/ 0 h 2763838"/>
            <a:gd name="connsiteX1" fmla="*/ 571500 w 2681288"/>
            <a:gd name="connsiteY1" fmla="*/ 1457325 h 2763838"/>
            <a:gd name="connsiteX2" fmla="*/ 1371600 w 2681288"/>
            <a:gd name="connsiteY2" fmla="*/ 1800225 h 2763838"/>
            <a:gd name="connsiteX3" fmla="*/ 1981200 w 2681288"/>
            <a:gd name="connsiteY3" fmla="*/ 1666875 h 2763838"/>
            <a:gd name="connsiteX4" fmla="*/ 2581275 w 2681288"/>
            <a:gd name="connsiteY4" fmla="*/ 2609850 h 2763838"/>
            <a:gd name="connsiteX5" fmla="*/ 2581275 w 2681288"/>
            <a:gd name="connsiteY5" fmla="*/ 2590800 h 27638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681288" h="2763838">
              <a:moveTo>
                <a:pt x="0" y="0"/>
              </a:moveTo>
              <a:cubicBezTo>
                <a:pt x="171450" y="578643"/>
                <a:pt x="342900" y="1157287"/>
                <a:pt x="571500" y="1457325"/>
              </a:cubicBezTo>
              <a:cubicBezTo>
                <a:pt x="800100" y="1757363"/>
                <a:pt x="1136650" y="1765300"/>
                <a:pt x="1371600" y="1800225"/>
              </a:cubicBezTo>
              <a:cubicBezTo>
                <a:pt x="1606550" y="1835150"/>
                <a:pt x="1779588" y="1531938"/>
                <a:pt x="1981200" y="1666875"/>
              </a:cubicBezTo>
              <a:cubicBezTo>
                <a:pt x="2182812" y="1801812"/>
                <a:pt x="2481263" y="2455863"/>
                <a:pt x="2581275" y="2609850"/>
              </a:cubicBezTo>
              <a:cubicBezTo>
                <a:pt x="2681288" y="2763838"/>
                <a:pt x="2631281" y="2677319"/>
                <a:pt x="2581275" y="2590800"/>
              </a:cubicBezTo>
            </a:path>
          </a:pathLst>
        </a:cu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15</xdr:col>
      <xdr:colOff>374650</xdr:colOff>
      <xdr:row>13</xdr:row>
      <xdr:rowOff>57150</xdr:rowOff>
    </xdr:from>
    <xdr:to>
      <xdr:col>18</xdr:col>
      <xdr:colOff>142875</xdr:colOff>
      <xdr:row>23</xdr:row>
      <xdr:rowOff>66675</xdr:rowOff>
    </xdr:to>
    <xdr:sp macro="" textlink="">
      <xdr:nvSpPr>
        <xdr:cNvPr id="17" name="Freeform 16">
          <a:extLst>
            <a:ext uri="{FF2B5EF4-FFF2-40B4-BE49-F238E27FC236}">
              <a16:creationId xmlns:a16="http://schemas.microsoft.com/office/drawing/2014/main" id="{00000000-0008-0000-0C00-000011000000}"/>
            </a:ext>
          </a:extLst>
        </xdr:cNvPr>
        <xdr:cNvSpPr/>
      </xdr:nvSpPr>
      <xdr:spPr>
        <a:xfrm>
          <a:off x="7337425" y="30318075"/>
          <a:ext cx="1416050" cy="1914525"/>
        </a:xfrm>
        <a:custGeom>
          <a:avLst/>
          <a:gdLst>
            <a:gd name="connsiteX0" fmla="*/ 1349375 w 1468438"/>
            <a:gd name="connsiteY0" fmla="*/ 79375 h 2006600"/>
            <a:gd name="connsiteX1" fmla="*/ 1244600 w 1468438"/>
            <a:gd name="connsiteY1" fmla="*/ 79375 h 2006600"/>
            <a:gd name="connsiteX2" fmla="*/ 6350 w 1468438"/>
            <a:gd name="connsiteY2" fmla="*/ 555625 h 2006600"/>
            <a:gd name="connsiteX3" fmla="*/ 1282700 w 1468438"/>
            <a:gd name="connsiteY3" fmla="*/ 1822450 h 2006600"/>
            <a:gd name="connsiteX4" fmla="*/ 1101725 w 1468438"/>
            <a:gd name="connsiteY4" fmla="*/ 1660525 h 2006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68438" h="2006600">
              <a:moveTo>
                <a:pt x="1349375" y="79375"/>
              </a:moveTo>
              <a:cubicBezTo>
                <a:pt x="1408906" y="39687"/>
                <a:pt x="1468438" y="0"/>
                <a:pt x="1244600" y="79375"/>
              </a:cubicBezTo>
              <a:cubicBezTo>
                <a:pt x="1020763" y="158750"/>
                <a:pt x="0" y="265113"/>
                <a:pt x="6350" y="555625"/>
              </a:cubicBezTo>
              <a:cubicBezTo>
                <a:pt x="12700" y="846137"/>
                <a:pt x="1100138" y="1638300"/>
                <a:pt x="1282700" y="1822450"/>
              </a:cubicBezTo>
              <a:cubicBezTo>
                <a:pt x="1465262" y="2006600"/>
                <a:pt x="1283493" y="1833562"/>
                <a:pt x="1101725" y="1660525"/>
              </a:cubicBezTo>
            </a:path>
          </a:pathLst>
        </a:cu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14</xdr:col>
      <xdr:colOff>19050</xdr:colOff>
      <xdr:row>13</xdr:row>
      <xdr:rowOff>85726</xdr:rowOff>
    </xdr:from>
    <xdr:to>
      <xdr:col>15</xdr:col>
      <xdr:colOff>266700</xdr:colOff>
      <xdr:row>22</xdr:row>
      <xdr:rowOff>76201</xdr:rowOff>
    </xdr:to>
    <xdr:sp macro="" textlink="">
      <xdr:nvSpPr>
        <xdr:cNvPr id="20" name="Freeform 19">
          <a:extLst>
            <a:ext uri="{FF2B5EF4-FFF2-40B4-BE49-F238E27FC236}">
              <a16:creationId xmlns:a16="http://schemas.microsoft.com/office/drawing/2014/main" id="{00000000-0008-0000-0C00-000014000000}"/>
            </a:ext>
          </a:extLst>
        </xdr:cNvPr>
        <xdr:cNvSpPr/>
      </xdr:nvSpPr>
      <xdr:spPr>
        <a:xfrm>
          <a:off x="7867650" y="2562226"/>
          <a:ext cx="857250" cy="1704975"/>
        </a:xfrm>
        <a:custGeom>
          <a:avLst/>
          <a:gdLst>
            <a:gd name="connsiteX0" fmla="*/ 1309687 w 1309687"/>
            <a:gd name="connsiteY0" fmla="*/ 1914525 h 1914525"/>
            <a:gd name="connsiteX1" fmla="*/ 233362 w 1309687"/>
            <a:gd name="connsiteY1" fmla="*/ 1343025 h 1914525"/>
            <a:gd name="connsiteX2" fmla="*/ 128587 w 1309687"/>
            <a:gd name="connsiteY2" fmla="*/ 885825 h 1914525"/>
            <a:gd name="connsiteX3" fmla="*/ 1004887 w 1309687"/>
            <a:gd name="connsiteY3" fmla="*/ 771525 h 1914525"/>
            <a:gd name="connsiteX4" fmla="*/ 995362 w 1309687"/>
            <a:gd name="connsiteY4" fmla="*/ 0 h 1914525"/>
            <a:gd name="connsiteX5" fmla="*/ 995362 w 1309687"/>
            <a:gd name="connsiteY5" fmla="*/ 0 h 19145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309687" h="1914525">
              <a:moveTo>
                <a:pt x="1309687" y="1914525"/>
              </a:moveTo>
              <a:cubicBezTo>
                <a:pt x="869949" y="1714500"/>
                <a:pt x="430212" y="1514475"/>
                <a:pt x="233362" y="1343025"/>
              </a:cubicBezTo>
              <a:cubicBezTo>
                <a:pt x="36512" y="1171575"/>
                <a:pt x="0" y="981075"/>
                <a:pt x="128587" y="885825"/>
              </a:cubicBezTo>
              <a:cubicBezTo>
                <a:pt x="257175" y="790575"/>
                <a:pt x="860425" y="919162"/>
                <a:pt x="1004887" y="771525"/>
              </a:cubicBezTo>
              <a:cubicBezTo>
                <a:pt x="1149349" y="623888"/>
                <a:pt x="995362" y="0"/>
                <a:pt x="995362" y="0"/>
              </a:cubicBezTo>
              <a:lnTo>
                <a:pt x="995362" y="0"/>
              </a:lnTo>
            </a:path>
          </a:pathLst>
        </a:cu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15</xdr:col>
      <xdr:colOff>371475</xdr:colOff>
      <xdr:row>3</xdr:row>
      <xdr:rowOff>95251</xdr:rowOff>
    </xdr:from>
    <xdr:to>
      <xdr:col>16</xdr:col>
      <xdr:colOff>361950</xdr:colOff>
      <xdr:row>10</xdr:row>
      <xdr:rowOff>133349</xdr:rowOff>
    </xdr:to>
    <xdr:sp macro="" textlink="">
      <xdr:nvSpPr>
        <xdr:cNvPr id="21" name="Freeform 20">
          <a:extLst>
            <a:ext uri="{FF2B5EF4-FFF2-40B4-BE49-F238E27FC236}">
              <a16:creationId xmlns:a16="http://schemas.microsoft.com/office/drawing/2014/main" id="{00000000-0008-0000-0C00-000015000000}"/>
            </a:ext>
          </a:extLst>
        </xdr:cNvPr>
        <xdr:cNvSpPr/>
      </xdr:nvSpPr>
      <xdr:spPr>
        <a:xfrm>
          <a:off x="7334250" y="28651201"/>
          <a:ext cx="600075" cy="1743073"/>
        </a:xfrm>
        <a:custGeom>
          <a:avLst/>
          <a:gdLst>
            <a:gd name="connsiteX0" fmla="*/ 1309687 w 1309687"/>
            <a:gd name="connsiteY0" fmla="*/ 1914525 h 1914525"/>
            <a:gd name="connsiteX1" fmla="*/ 233362 w 1309687"/>
            <a:gd name="connsiteY1" fmla="*/ 1343025 h 1914525"/>
            <a:gd name="connsiteX2" fmla="*/ 128587 w 1309687"/>
            <a:gd name="connsiteY2" fmla="*/ 885825 h 1914525"/>
            <a:gd name="connsiteX3" fmla="*/ 1004887 w 1309687"/>
            <a:gd name="connsiteY3" fmla="*/ 771525 h 1914525"/>
            <a:gd name="connsiteX4" fmla="*/ 995362 w 1309687"/>
            <a:gd name="connsiteY4" fmla="*/ 0 h 1914525"/>
            <a:gd name="connsiteX5" fmla="*/ 995362 w 1309687"/>
            <a:gd name="connsiteY5" fmla="*/ 0 h 19145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309687" h="1914525">
              <a:moveTo>
                <a:pt x="1309687" y="1914525"/>
              </a:moveTo>
              <a:cubicBezTo>
                <a:pt x="869949" y="1714500"/>
                <a:pt x="430212" y="1514475"/>
                <a:pt x="233362" y="1343025"/>
              </a:cubicBezTo>
              <a:cubicBezTo>
                <a:pt x="36512" y="1171575"/>
                <a:pt x="0" y="981075"/>
                <a:pt x="128587" y="885825"/>
              </a:cubicBezTo>
              <a:cubicBezTo>
                <a:pt x="257175" y="790575"/>
                <a:pt x="860425" y="919162"/>
                <a:pt x="1004887" y="771525"/>
              </a:cubicBezTo>
              <a:cubicBezTo>
                <a:pt x="1149349" y="623888"/>
                <a:pt x="995362" y="0"/>
                <a:pt x="995362" y="0"/>
              </a:cubicBezTo>
              <a:lnTo>
                <a:pt x="995362" y="0"/>
              </a:lnTo>
            </a:path>
          </a:pathLst>
        </a:cu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editAs="oneCell">
    <xdr:from>
      <xdr:col>18</xdr:col>
      <xdr:colOff>390525</xdr:colOff>
      <xdr:row>12</xdr:row>
      <xdr:rowOff>57150</xdr:rowOff>
    </xdr:from>
    <xdr:to>
      <xdr:col>20</xdr:col>
      <xdr:colOff>47624</xdr:colOff>
      <xdr:row>15</xdr:row>
      <xdr:rowOff>85726</xdr:rowOff>
    </xdr:to>
    <xdr:pic>
      <xdr:nvPicPr>
        <xdr:cNvPr id="23" name="Picture 1">
          <a:extLst>
            <a:ext uri="{FF2B5EF4-FFF2-40B4-BE49-F238E27FC236}">
              <a16:creationId xmlns:a16="http://schemas.microsoft.com/office/drawing/2014/main" id="{00000000-0008-0000-0C00-00001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896350" y="6343650"/>
          <a:ext cx="876299" cy="600076"/>
        </a:xfrm>
        <a:prstGeom prst="rect">
          <a:avLst/>
        </a:prstGeom>
        <a:noFill/>
        <a:ln w="9525">
          <a:noFill/>
          <a:miter lim="800000"/>
          <a:headEnd/>
          <a:tailEnd/>
        </a:ln>
      </xdr:spPr>
    </xdr:pic>
    <xdr:clientData/>
  </xdr:twoCellAnchor>
  <xdr:twoCellAnchor>
    <xdr:from>
      <xdr:col>10</xdr:col>
      <xdr:colOff>76200</xdr:colOff>
      <xdr:row>8</xdr:row>
      <xdr:rowOff>123826</xdr:rowOff>
    </xdr:from>
    <xdr:to>
      <xdr:col>10</xdr:col>
      <xdr:colOff>171450</xdr:colOff>
      <xdr:row>21</xdr:row>
      <xdr:rowOff>0</xdr:rowOff>
    </xdr:to>
    <xdr:cxnSp macro="">
      <xdr:nvCxnSpPr>
        <xdr:cNvPr id="26" name="Straight Connector 25">
          <a:extLst>
            <a:ext uri="{FF2B5EF4-FFF2-40B4-BE49-F238E27FC236}">
              <a16:creationId xmlns:a16="http://schemas.microsoft.com/office/drawing/2014/main" id="{00000000-0008-0000-0C00-00001A000000}"/>
            </a:ext>
          </a:extLst>
        </xdr:cNvPr>
        <xdr:cNvCxnSpPr/>
      </xdr:nvCxnSpPr>
      <xdr:spPr>
        <a:xfrm rot="5400000" flipH="1" flipV="1">
          <a:off x="3557588" y="31132463"/>
          <a:ext cx="2352674" cy="95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19050</xdr:colOff>
      <xdr:row>25</xdr:row>
      <xdr:rowOff>104776</xdr:rowOff>
    </xdr:from>
    <xdr:to>
      <xdr:col>19</xdr:col>
      <xdr:colOff>476250</xdr:colOff>
      <xdr:row>25</xdr:row>
      <xdr:rowOff>114300</xdr:rowOff>
    </xdr:to>
    <xdr:cxnSp macro="">
      <xdr:nvCxnSpPr>
        <xdr:cNvPr id="27" name="Straight Connector 26">
          <a:extLst>
            <a:ext uri="{FF2B5EF4-FFF2-40B4-BE49-F238E27FC236}">
              <a16:creationId xmlns:a16="http://schemas.microsoft.com/office/drawing/2014/main" id="{00000000-0008-0000-0C00-00001B000000}"/>
            </a:ext>
          </a:extLst>
        </xdr:cNvPr>
        <xdr:cNvCxnSpPr/>
      </xdr:nvCxnSpPr>
      <xdr:spPr>
        <a:xfrm>
          <a:off x="6696075" y="8867776"/>
          <a:ext cx="2895600" cy="95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542925</xdr:colOff>
      <xdr:row>8</xdr:row>
      <xdr:rowOff>180976</xdr:rowOff>
    </xdr:from>
    <xdr:to>
      <xdr:col>18</xdr:col>
      <xdr:colOff>352427</xdr:colOff>
      <xdr:row>8</xdr:row>
      <xdr:rowOff>190499</xdr:rowOff>
    </xdr:to>
    <xdr:cxnSp macro="">
      <xdr:nvCxnSpPr>
        <xdr:cNvPr id="28" name="Straight Connector 27">
          <a:extLst>
            <a:ext uri="{FF2B5EF4-FFF2-40B4-BE49-F238E27FC236}">
              <a16:creationId xmlns:a16="http://schemas.microsoft.com/office/drawing/2014/main" id="{00000000-0008-0000-0C00-00001C000000}"/>
            </a:ext>
          </a:extLst>
        </xdr:cNvPr>
        <xdr:cNvCxnSpPr/>
      </xdr:nvCxnSpPr>
      <xdr:spPr>
        <a:xfrm rot="10800000">
          <a:off x="7829550" y="5705476"/>
          <a:ext cx="1028702" cy="952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133350</xdr:colOff>
      <xdr:row>40</xdr:row>
      <xdr:rowOff>9525</xdr:rowOff>
    </xdr:from>
    <xdr:to>
      <xdr:col>26</xdr:col>
      <xdr:colOff>142878</xdr:colOff>
      <xdr:row>43</xdr:row>
      <xdr:rowOff>104777</xdr:rowOff>
    </xdr:to>
    <xdr:cxnSp macro="">
      <xdr:nvCxnSpPr>
        <xdr:cNvPr id="29" name="Straight Connector 28">
          <a:extLst>
            <a:ext uri="{FF2B5EF4-FFF2-40B4-BE49-F238E27FC236}">
              <a16:creationId xmlns:a16="http://schemas.microsoft.com/office/drawing/2014/main" id="{00000000-0008-0000-0C00-00001D000000}"/>
            </a:ext>
          </a:extLst>
        </xdr:cNvPr>
        <xdr:cNvCxnSpPr/>
      </xdr:nvCxnSpPr>
      <xdr:spPr>
        <a:xfrm rot="16200000" flipV="1">
          <a:off x="13187363" y="7958137"/>
          <a:ext cx="666752" cy="952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447675</xdr:colOff>
      <xdr:row>12</xdr:row>
      <xdr:rowOff>114301</xdr:rowOff>
    </xdr:from>
    <xdr:to>
      <xdr:col>18</xdr:col>
      <xdr:colOff>152400</xdr:colOff>
      <xdr:row>14</xdr:row>
      <xdr:rowOff>57151</xdr:rowOff>
    </xdr:to>
    <xdr:pic>
      <xdr:nvPicPr>
        <xdr:cNvPr id="30" name="Picture 1">
          <a:extLst>
            <a:ext uri="{FF2B5EF4-FFF2-40B4-BE49-F238E27FC236}">
              <a16:creationId xmlns:a16="http://schemas.microsoft.com/office/drawing/2014/main" id="{00000000-0008-0000-0C00-00001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43900" y="6400801"/>
          <a:ext cx="314325" cy="323850"/>
        </a:xfrm>
        <a:prstGeom prst="rect">
          <a:avLst/>
        </a:prstGeom>
        <a:noFill/>
        <a:ln w="9525">
          <a:noFill/>
          <a:miter lim="800000"/>
          <a:headEnd/>
          <a:tailEnd/>
        </a:ln>
      </xdr:spPr>
    </xdr:pic>
    <xdr:clientData/>
  </xdr:twoCellAnchor>
  <xdr:twoCellAnchor editAs="oneCell">
    <xdr:from>
      <xdr:col>17</xdr:col>
      <xdr:colOff>314325</xdr:colOff>
      <xdr:row>6</xdr:row>
      <xdr:rowOff>104775</xdr:rowOff>
    </xdr:from>
    <xdr:to>
      <xdr:col>19</xdr:col>
      <xdr:colOff>371475</xdr:colOff>
      <xdr:row>10</xdr:row>
      <xdr:rowOff>95251</xdr:rowOff>
    </xdr:to>
    <xdr:pic>
      <xdr:nvPicPr>
        <xdr:cNvPr id="31" name="Picture 1">
          <a:extLst>
            <a:ext uri="{FF2B5EF4-FFF2-40B4-BE49-F238E27FC236}">
              <a16:creationId xmlns:a16="http://schemas.microsoft.com/office/drawing/2014/main" id="{00000000-0008-0000-0C00-00001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10550" y="5248275"/>
          <a:ext cx="1276350" cy="752476"/>
        </a:xfrm>
        <a:prstGeom prst="rect">
          <a:avLst/>
        </a:prstGeom>
        <a:noFill/>
        <a:ln w="9525">
          <a:noFill/>
          <a:miter lim="800000"/>
          <a:headEnd/>
          <a:tailEnd/>
        </a:ln>
      </xdr:spPr>
    </xdr:pic>
    <xdr:clientData/>
  </xdr:twoCellAnchor>
  <xdr:twoCellAnchor>
    <xdr:from>
      <xdr:col>7</xdr:col>
      <xdr:colOff>876300</xdr:colOff>
      <xdr:row>124</xdr:row>
      <xdr:rowOff>161926</xdr:rowOff>
    </xdr:from>
    <xdr:to>
      <xdr:col>8</xdr:col>
      <xdr:colOff>66675</xdr:colOff>
      <xdr:row>129</xdr:row>
      <xdr:rowOff>28574</xdr:rowOff>
    </xdr:to>
    <xdr:cxnSp macro="">
      <xdr:nvCxnSpPr>
        <xdr:cNvPr id="36" name="Straight Connector 35">
          <a:extLst>
            <a:ext uri="{FF2B5EF4-FFF2-40B4-BE49-F238E27FC236}">
              <a16:creationId xmlns:a16="http://schemas.microsoft.com/office/drawing/2014/main" id="{00000000-0008-0000-0C00-000024000000}"/>
            </a:ext>
          </a:extLst>
        </xdr:cNvPr>
        <xdr:cNvCxnSpPr/>
      </xdr:nvCxnSpPr>
      <xdr:spPr>
        <a:xfrm rot="5400000" flipH="1" flipV="1">
          <a:off x="3048001" y="28698825"/>
          <a:ext cx="819148" cy="1333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85725</xdr:colOff>
      <xdr:row>125</xdr:row>
      <xdr:rowOff>123826</xdr:rowOff>
    </xdr:from>
    <xdr:to>
      <xdr:col>9</xdr:col>
      <xdr:colOff>0</xdr:colOff>
      <xdr:row>129</xdr:row>
      <xdr:rowOff>180974</xdr:rowOff>
    </xdr:to>
    <xdr:cxnSp macro="">
      <xdr:nvCxnSpPr>
        <xdr:cNvPr id="37" name="Straight Connector 36">
          <a:extLst>
            <a:ext uri="{FF2B5EF4-FFF2-40B4-BE49-F238E27FC236}">
              <a16:creationId xmlns:a16="http://schemas.microsoft.com/office/drawing/2014/main" id="{00000000-0008-0000-0C00-000025000000}"/>
            </a:ext>
          </a:extLst>
        </xdr:cNvPr>
        <xdr:cNvCxnSpPr/>
      </xdr:nvCxnSpPr>
      <xdr:spPr>
        <a:xfrm rot="5400000" flipH="1" flipV="1">
          <a:off x="3200401" y="28851225"/>
          <a:ext cx="819148" cy="1333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126</xdr:row>
      <xdr:rowOff>85726</xdr:rowOff>
    </xdr:from>
    <xdr:to>
      <xdr:col>11</xdr:col>
      <xdr:colOff>152400</xdr:colOff>
      <xdr:row>130</xdr:row>
      <xdr:rowOff>142874</xdr:rowOff>
    </xdr:to>
    <xdr:cxnSp macro="">
      <xdr:nvCxnSpPr>
        <xdr:cNvPr id="38" name="Straight Connector 37">
          <a:extLst>
            <a:ext uri="{FF2B5EF4-FFF2-40B4-BE49-F238E27FC236}">
              <a16:creationId xmlns:a16="http://schemas.microsoft.com/office/drawing/2014/main" id="{00000000-0008-0000-0C00-000026000000}"/>
            </a:ext>
          </a:extLst>
        </xdr:cNvPr>
        <xdr:cNvCxnSpPr/>
      </xdr:nvCxnSpPr>
      <xdr:spPr>
        <a:xfrm rot="5400000" flipH="1" flipV="1">
          <a:off x="3352801" y="29003625"/>
          <a:ext cx="819148" cy="1333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171450</xdr:colOff>
      <xdr:row>127</xdr:row>
      <xdr:rowOff>47626</xdr:rowOff>
    </xdr:from>
    <xdr:to>
      <xdr:col>11</xdr:col>
      <xdr:colOff>304800</xdr:colOff>
      <xdr:row>131</xdr:row>
      <xdr:rowOff>104774</xdr:rowOff>
    </xdr:to>
    <xdr:cxnSp macro="">
      <xdr:nvCxnSpPr>
        <xdr:cNvPr id="39" name="Straight Connector 38">
          <a:extLst>
            <a:ext uri="{FF2B5EF4-FFF2-40B4-BE49-F238E27FC236}">
              <a16:creationId xmlns:a16="http://schemas.microsoft.com/office/drawing/2014/main" id="{00000000-0008-0000-0C00-000027000000}"/>
            </a:ext>
          </a:extLst>
        </xdr:cNvPr>
        <xdr:cNvCxnSpPr/>
      </xdr:nvCxnSpPr>
      <xdr:spPr>
        <a:xfrm rot="5400000" flipH="1" flipV="1">
          <a:off x="3505201" y="29156025"/>
          <a:ext cx="819148" cy="1333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561975</xdr:colOff>
      <xdr:row>138</xdr:row>
      <xdr:rowOff>180977</xdr:rowOff>
    </xdr:from>
    <xdr:to>
      <xdr:col>16</xdr:col>
      <xdr:colOff>85725</xdr:colOff>
      <xdr:row>143</xdr:row>
      <xdr:rowOff>47625</xdr:rowOff>
    </xdr:to>
    <xdr:cxnSp macro="">
      <xdr:nvCxnSpPr>
        <xdr:cNvPr id="40" name="Straight Connector 39">
          <a:extLst>
            <a:ext uri="{FF2B5EF4-FFF2-40B4-BE49-F238E27FC236}">
              <a16:creationId xmlns:a16="http://schemas.microsoft.com/office/drawing/2014/main" id="{00000000-0008-0000-0C00-000028000000}"/>
            </a:ext>
          </a:extLst>
        </xdr:cNvPr>
        <xdr:cNvCxnSpPr/>
      </xdr:nvCxnSpPr>
      <xdr:spPr>
        <a:xfrm rot="5400000" flipH="1" flipV="1">
          <a:off x="6896101" y="31384876"/>
          <a:ext cx="819148" cy="1333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447678</xdr:colOff>
      <xdr:row>5</xdr:row>
      <xdr:rowOff>66676</xdr:rowOff>
    </xdr:from>
    <xdr:to>
      <xdr:col>18</xdr:col>
      <xdr:colOff>457201</xdr:colOff>
      <xdr:row>8</xdr:row>
      <xdr:rowOff>161925</xdr:rowOff>
    </xdr:to>
    <xdr:cxnSp macro="">
      <xdr:nvCxnSpPr>
        <xdr:cNvPr id="42" name="Straight Connector 41">
          <a:extLst>
            <a:ext uri="{FF2B5EF4-FFF2-40B4-BE49-F238E27FC236}">
              <a16:creationId xmlns:a16="http://schemas.microsoft.com/office/drawing/2014/main" id="{00000000-0008-0000-0C00-00002A000000}"/>
            </a:ext>
          </a:extLst>
        </xdr:cNvPr>
        <xdr:cNvCxnSpPr/>
      </xdr:nvCxnSpPr>
      <xdr:spPr>
        <a:xfrm rot="16200000" flipV="1">
          <a:off x="8624890" y="5348289"/>
          <a:ext cx="666749" cy="952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180976</xdr:colOff>
      <xdr:row>12</xdr:row>
      <xdr:rowOff>19050</xdr:rowOff>
    </xdr:from>
    <xdr:to>
      <xdr:col>18</xdr:col>
      <xdr:colOff>571503</xdr:colOff>
      <xdr:row>18</xdr:row>
      <xdr:rowOff>152405</xdr:rowOff>
    </xdr:to>
    <xdr:cxnSp macro="">
      <xdr:nvCxnSpPr>
        <xdr:cNvPr id="45" name="Straight Connector 44">
          <a:extLst>
            <a:ext uri="{FF2B5EF4-FFF2-40B4-BE49-F238E27FC236}">
              <a16:creationId xmlns:a16="http://schemas.microsoft.com/office/drawing/2014/main" id="{00000000-0008-0000-0C00-00002D000000}"/>
            </a:ext>
          </a:extLst>
        </xdr:cNvPr>
        <xdr:cNvCxnSpPr/>
      </xdr:nvCxnSpPr>
      <xdr:spPr>
        <a:xfrm flipV="1">
          <a:off x="6248401" y="6305550"/>
          <a:ext cx="2828927" cy="127635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285750</xdr:colOff>
      <xdr:row>14</xdr:row>
      <xdr:rowOff>95250</xdr:rowOff>
    </xdr:from>
    <xdr:to>
      <xdr:col>12</xdr:col>
      <xdr:colOff>542925</xdr:colOff>
      <xdr:row>14</xdr:row>
      <xdr:rowOff>171450</xdr:rowOff>
    </xdr:to>
    <xdr:cxnSp macro="">
      <xdr:nvCxnSpPr>
        <xdr:cNvPr id="46" name="Straight Connector 45">
          <a:extLst>
            <a:ext uri="{FF2B5EF4-FFF2-40B4-BE49-F238E27FC236}">
              <a16:creationId xmlns:a16="http://schemas.microsoft.com/office/drawing/2014/main" id="{00000000-0008-0000-0C00-00002E000000}"/>
            </a:ext>
          </a:extLst>
        </xdr:cNvPr>
        <xdr:cNvCxnSpPr/>
      </xdr:nvCxnSpPr>
      <xdr:spPr>
        <a:xfrm>
          <a:off x="4572000" y="7334250"/>
          <a:ext cx="257175" cy="762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276225</xdr:colOff>
      <xdr:row>10</xdr:row>
      <xdr:rowOff>1</xdr:rowOff>
    </xdr:from>
    <xdr:to>
      <xdr:col>12</xdr:col>
      <xdr:colOff>104775</xdr:colOff>
      <xdr:row>11</xdr:row>
      <xdr:rowOff>180976</xdr:rowOff>
    </xdr:to>
    <xdr:cxnSp macro="">
      <xdr:nvCxnSpPr>
        <xdr:cNvPr id="47" name="Straight Connector 46">
          <a:extLst>
            <a:ext uri="{FF2B5EF4-FFF2-40B4-BE49-F238E27FC236}">
              <a16:creationId xmlns:a16="http://schemas.microsoft.com/office/drawing/2014/main" id="{00000000-0008-0000-0C00-00002F000000}"/>
            </a:ext>
          </a:extLst>
        </xdr:cNvPr>
        <xdr:cNvCxnSpPr/>
      </xdr:nvCxnSpPr>
      <xdr:spPr>
        <a:xfrm rot="10800000">
          <a:off x="3952875" y="6477001"/>
          <a:ext cx="438150" cy="3714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342900</xdr:colOff>
      <xdr:row>6</xdr:row>
      <xdr:rowOff>93553</xdr:rowOff>
    </xdr:from>
    <xdr:to>
      <xdr:col>20</xdr:col>
      <xdr:colOff>104775</xdr:colOff>
      <xdr:row>8</xdr:row>
      <xdr:rowOff>47625</xdr:rowOff>
    </xdr:to>
    <xdr:pic>
      <xdr:nvPicPr>
        <xdr:cNvPr id="57" name="Picture 1">
          <a:extLst>
            <a:ext uri="{FF2B5EF4-FFF2-40B4-BE49-F238E27FC236}">
              <a16:creationId xmlns:a16="http://schemas.microsoft.com/office/drawing/2014/main" id="{00000000-0008-0000-0C00-00003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58325" y="5237053"/>
          <a:ext cx="371475" cy="335072"/>
        </a:xfrm>
        <a:prstGeom prst="rect">
          <a:avLst/>
        </a:prstGeom>
        <a:noFill/>
        <a:ln w="9525">
          <a:noFill/>
          <a:miter lim="800000"/>
          <a:headEnd/>
          <a:tailEnd/>
        </a:ln>
      </xdr:spPr>
    </xdr:pic>
    <xdr:clientData/>
  </xdr:twoCellAnchor>
  <xdr:twoCellAnchor editAs="oneCell">
    <xdr:from>
      <xdr:col>19</xdr:col>
      <xdr:colOff>190500</xdr:colOff>
      <xdr:row>6</xdr:row>
      <xdr:rowOff>19051</xdr:rowOff>
    </xdr:from>
    <xdr:to>
      <xdr:col>19</xdr:col>
      <xdr:colOff>504825</xdr:colOff>
      <xdr:row>7</xdr:row>
      <xdr:rowOff>152401</xdr:rowOff>
    </xdr:to>
    <xdr:pic>
      <xdr:nvPicPr>
        <xdr:cNvPr id="58" name="Picture 1">
          <a:extLst>
            <a:ext uri="{FF2B5EF4-FFF2-40B4-BE49-F238E27FC236}">
              <a16:creationId xmlns:a16="http://schemas.microsoft.com/office/drawing/2014/main" id="{00000000-0008-0000-0C00-00003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305925" y="5162551"/>
          <a:ext cx="314325" cy="323850"/>
        </a:xfrm>
        <a:prstGeom prst="rect">
          <a:avLst/>
        </a:prstGeom>
        <a:noFill/>
        <a:ln w="9525">
          <a:noFill/>
          <a:miter lim="800000"/>
          <a:headEnd/>
          <a:tailEnd/>
        </a:ln>
      </xdr:spPr>
    </xdr:pic>
    <xdr:clientData/>
  </xdr:twoCellAnchor>
  <xdr:twoCellAnchor>
    <xdr:from>
      <xdr:col>19</xdr:col>
      <xdr:colOff>323058</xdr:colOff>
      <xdr:row>3</xdr:row>
      <xdr:rowOff>0</xdr:rowOff>
    </xdr:from>
    <xdr:to>
      <xdr:col>19</xdr:col>
      <xdr:colOff>333375</xdr:colOff>
      <xdr:row>5</xdr:row>
      <xdr:rowOff>105574</xdr:rowOff>
    </xdr:to>
    <xdr:cxnSp macro="">
      <xdr:nvCxnSpPr>
        <xdr:cNvPr id="50" name="Straight Connector 49">
          <a:extLst>
            <a:ext uri="{FF2B5EF4-FFF2-40B4-BE49-F238E27FC236}">
              <a16:creationId xmlns:a16="http://schemas.microsoft.com/office/drawing/2014/main" id="{00000000-0008-0000-0C00-000032000000}"/>
            </a:ext>
          </a:extLst>
        </xdr:cNvPr>
        <xdr:cNvCxnSpPr/>
      </xdr:nvCxnSpPr>
      <xdr:spPr>
        <a:xfrm rot="5400000" flipH="1" flipV="1">
          <a:off x="9024144" y="4633917"/>
          <a:ext cx="838996" cy="1031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285750</xdr:colOff>
      <xdr:row>7</xdr:row>
      <xdr:rowOff>28576</xdr:rowOff>
    </xdr:from>
    <xdr:to>
      <xdr:col>20</xdr:col>
      <xdr:colOff>342903</xdr:colOff>
      <xdr:row>18</xdr:row>
      <xdr:rowOff>180978</xdr:rowOff>
    </xdr:to>
    <xdr:cxnSp macro="">
      <xdr:nvCxnSpPr>
        <xdr:cNvPr id="51" name="Straight Connector 50">
          <a:extLst>
            <a:ext uri="{FF2B5EF4-FFF2-40B4-BE49-F238E27FC236}">
              <a16:creationId xmlns:a16="http://schemas.microsoft.com/office/drawing/2014/main" id="{00000000-0008-0000-0C00-000033000000}"/>
            </a:ext>
          </a:extLst>
        </xdr:cNvPr>
        <xdr:cNvCxnSpPr/>
      </xdr:nvCxnSpPr>
      <xdr:spPr>
        <a:xfrm rot="16200000" flipV="1">
          <a:off x="8915401" y="6457950"/>
          <a:ext cx="2247902" cy="5715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9528</xdr:colOff>
      <xdr:row>7</xdr:row>
      <xdr:rowOff>19049</xdr:rowOff>
    </xdr:from>
    <xdr:to>
      <xdr:col>17</xdr:col>
      <xdr:colOff>190501</xdr:colOff>
      <xdr:row>10</xdr:row>
      <xdr:rowOff>171452</xdr:rowOff>
    </xdr:to>
    <xdr:cxnSp macro="">
      <xdr:nvCxnSpPr>
        <xdr:cNvPr id="52" name="Straight Connector 51">
          <a:extLst>
            <a:ext uri="{FF2B5EF4-FFF2-40B4-BE49-F238E27FC236}">
              <a16:creationId xmlns:a16="http://schemas.microsoft.com/office/drawing/2014/main" id="{00000000-0008-0000-0C00-000034000000}"/>
            </a:ext>
          </a:extLst>
        </xdr:cNvPr>
        <xdr:cNvCxnSpPr/>
      </xdr:nvCxnSpPr>
      <xdr:spPr>
        <a:xfrm rot="10800000" flipV="1">
          <a:off x="7296153" y="5353049"/>
          <a:ext cx="790573" cy="72390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276232</xdr:colOff>
      <xdr:row>10</xdr:row>
      <xdr:rowOff>142875</xdr:rowOff>
    </xdr:from>
    <xdr:to>
      <xdr:col>17</xdr:col>
      <xdr:colOff>381001</xdr:colOff>
      <xdr:row>14</xdr:row>
      <xdr:rowOff>85721</xdr:rowOff>
    </xdr:to>
    <xdr:cxnSp macro="">
      <xdr:nvCxnSpPr>
        <xdr:cNvPr id="56" name="Straight Connector 55">
          <a:extLst>
            <a:ext uri="{FF2B5EF4-FFF2-40B4-BE49-F238E27FC236}">
              <a16:creationId xmlns:a16="http://schemas.microsoft.com/office/drawing/2014/main" id="{00000000-0008-0000-0C00-000038000000}"/>
            </a:ext>
          </a:extLst>
        </xdr:cNvPr>
        <xdr:cNvCxnSpPr/>
      </xdr:nvCxnSpPr>
      <xdr:spPr>
        <a:xfrm rot="10800000" flipV="1">
          <a:off x="6953257" y="6048375"/>
          <a:ext cx="1323969" cy="70484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495300</xdr:colOff>
      <xdr:row>2</xdr:row>
      <xdr:rowOff>114300</xdr:rowOff>
    </xdr:from>
    <xdr:to>
      <xdr:col>12</xdr:col>
      <xdr:colOff>876300</xdr:colOff>
      <xdr:row>4</xdr:row>
      <xdr:rowOff>171450</xdr:rowOff>
    </xdr:to>
    <xdr:cxnSp macro="">
      <xdr:nvCxnSpPr>
        <xdr:cNvPr id="60" name="Straight Connector 59">
          <a:extLst>
            <a:ext uri="{FF2B5EF4-FFF2-40B4-BE49-F238E27FC236}">
              <a16:creationId xmlns:a16="http://schemas.microsoft.com/office/drawing/2014/main" id="{00000000-0008-0000-0C00-00003C000000}"/>
            </a:ext>
          </a:extLst>
        </xdr:cNvPr>
        <xdr:cNvCxnSpPr/>
      </xdr:nvCxnSpPr>
      <xdr:spPr>
        <a:xfrm flipV="1">
          <a:off x="4781550" y="5067300"/>
          <a:ext cx="381000" cy="4381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228600</xdr:colOff>
      <xdr:row>124</xdr:row>
      <xdr:rowOff>180975</xdr:rowOff>
    </xdr:from>
    <xdr:to>
      <xdr:col>1</xdr:col>
      <xdr:colOff>238125</xdr:colOff>
      <xdr:row>131</xdr:row>
      <xdr:rowOff>180975</xdr:rowOff>
    </xdr:to>
    <xdr:sp macro="" textlink="">
      <xdr:nvSpPr>
        <xdr:cNvPr id="62" name="Rectangle 61">
          <a:extLst>
            <a:ext uri="{FF2B5EF4-FFF2-40B4-BE49-F238E27FC236}">
              <a16:creationId xmlns:a16="http://schemas.microsoft.com/office/drawing/2014/main" id="{00000000-0008-0000-0C00-00003E000000}"/>
            </a:ext>
          </a:extLst>
        </xdr:cNvPr>
        <xdr:cNvSpPr/>
      </xdr:nvSpPr>
      <xdr:spPr>
        <a:xfrm>
          <a:off x="228600" y="28374975"/>
          <a:ext cx="619125" cy="1333500"/>
        </a:xfrm>
        <a:prstGeom prst="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18</xdr:col>
      <xdr:colOff>342900</xdr:colOff>
      <xdr:row>4</xdr:row>
      <xdr:rowOff>171450</xdr:rowOff>
    </xdr:from>
    <xdr:to>
      <xdr:col>19</xdr:col>
      <xdr:colOff>76200</xdr:colOff>
      <xdr:row>7</xdr:row>
      <xdr:rowOff>38100</xdr:rowOff>
    </xdr:to>
    <xdr:sp macro="" textlink="">
      <xdr:nvSpPr>
        <xdr:cNvPr id="63" name="Rectangle 62">
          <a:extLst>
            <a:ext uri="{FF2B5EF4-FFF2-40B4-BE49-F238E27FC236}">
              <a16:creationId xmlns:a16="http://schemas.microsoft.com/office/drawing/2014/main" id="{00000000-0008-0000-0C00-00003F000000}"/>
            </a:ext>
          </a:extLst>
        </xdr:cNvPr>
        <xdr:cNvSpPr/>
      </xdr:nvSpPr>
      <xdr:spPr>
        <a:xfrm>
          <a:off x="8848725" y="4933950"/>
          <a:ext cx="342900" cy="438150"/>
        </a:xfrm>
        <a:prstGeom prst="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161926</xdr:colOff>
      <xdr:row>12</xdr:row>
      <xdr:rowOff>57157</xdr:rowOff>
    </xdr:from>
    <xdr:to>
      <xdr:col>12</xdr:col>
      <xdr:colOff>723901</xdr:colOff>
      <xdr:row>15</xdr:row>
      <xdr:rowOff>76200</xdr:rowOff>
    </xdr:to>
    <xdr:cxnSp macro="">
      <xdr:nvCxnSpPr>
        <xdr:cNvPr id="64" name="Straight Connector 63">
          <a:extLst>
            <a:ext uri="{FF2B5EF4-FFF2-40B4-BE49-F238E27FC236}">
              <a16:creationId xmlns:a16="http://schemas.microsoft.com/office/drawing/2014/main" id="{00000000-0008-0000-0C00-000040000000}"/>
            </a:ext>
          </a:extLst>
        </xdr:cNvPr>
        <xdr:cNvCxnSpPr/>
      </xdr:nvCxnSpPr>
      <xdr:spPr>
        <a:xfrm rot="16200000" flipV="1">
          <a:off x="4433892" y="6929441"/>
          <a:ext cx="590543" cy="561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12</xdr:row>
      <xdr:rowOff>58740</xdr:rowOff>
    </xdr:from>
    <xdr:to>
      <xdr:col>17</xdr:col>
      <xdr:colOff>342902</xdr:colOff>
      <xdr:row>12</xdr:row>
      <xdr:rowOff>76200</xdr:rowOff>
    </xdr:to>
    <xdr:cxnSp macro="">
      <xdr:nvCxnSpPr>
        <xdr:cNvPr id="67" name="Straight Connector 66">
          <a:extLst>
            <a:ext uri="{FF2B5EF4-FFF2-40B4-BE49-F238E27FC236}">
              <a16:creationId xmlns:a16="http://schemas.microsoft.com/office/drawing/2014/main" id="{00000000-0008-0000-0C00-000043000000}"/>
            </a:ext>
          </a:extLst>
        </xdr:cNvPr>
        <xdr:cNvCxnSpPr/>
      </xdr:nvCxnSpPr>
      <xdr:spPr>
        <a:xfrm rot="10800000" flipV="1">
          <a:off x="6677025" y="6345240"/>
          <a:ext cx="1562102" cy="174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180975</xdr:colOff>
      <xdr:row>13</xdr:row>
      <xdr:rowOff>190499</xdr:rowOff>
    </xdr:from>
    <xdr:to>
      <xdr:col>12</xdr:col>
      <xdr:colOff>276227</xdr:colOff>
      <xdr:row>18</xdr:row>
      <xdr:rowOff>0</xdr:rowOff>
    </xdr:to>
    <xdr:cxnSp macro="">
      <xdr:nvCxnSpPr>
        <xdr:cNvPr id="71" name="Straight Connector 70">
          <a:extLst>
            <a:ext uri="{FF2B5EF4-FFF2-40B4-BE49-F238E27FC236}">
              <a16:creationId xmlns:a16="http://schemas.microsoft.com/office/drawing/2014/main" id="{00000000-0008-0000-0C00-000047000000}"/>
            </a:ext>
          </a:extLst>
        </xdr:cNvPr>
        <xdr:cNvCxnSpPr/>
      </xdr:nvCxnSpPr>
      <xdr:spPr>
        <a:xfrm flipH="1">
          <a:off x="3638550" y="7238999"/>
          <a:ext cx="923927" cy="76200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381003</xdr:colOff>
      <xdr:row>24</xdr:row>
      <xdr:rowOff>142877</xdr:rowOff>
    </xdr:from>
    <xdr:to>
      <xdr:col>17</xdr:col>
      <xdr:colOff>466725</xdr:colOff>
      <xdr:row>24</xdr:row>
      <xdr:rowOff>161926</xdr:rowOff>
    </xdr:to>
    <xdr:cxnSp macro="">
      <xdr:nvCxnSpPr>
        <xdr:cNvPr id="73" name="Straight Connector 72">
          <a:extLst>
            <a:ext uri="{FF2B5EF4-FFF2-40B4-BE49-F238E27FC236}">
              <a16:creationId xmlns:a16="http://schemas.microsoft.com/office/drawing/2014/main" id="{00000000-0008-0000-0C00-000049000000}"/>
            </a:ext>
          </a:extLst>
        </xdr:cNvPr>
        <xdr:cNvCxnSpPr/>
      </xdr:nvCxnSpPr>
      <xdr:spPr>
        <a:xfrm rot="10800000">
          <a:off x="6448428" y="8715377"/>
          <a:ext cx="1914522" cy="190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219075</xdr:colOff>
      <xdr:row>5</xdr:row>
      <xdr:rowOff>57150</xdr:rowOff>
    </xdr:from>
    <xdr:to>
      <xdr:col>16</xdr:col>
      <xdr:colOff>504827</xdr:colOff>
      <xdr:row>5</xdr:row>
      <xdr:rowOff>57152</xdr:rowOff>
    </xdr:to>
    <xdr:cxnSp macro="">
      <xdr:nvCxnSpPr>
        <xdr:cNvPr id="74" name="Straight Connector 73">
          <a:extLst>
            <a:ext uri="{FF2B5EF4-FFF2-40B4-BE49-F238E27FC236}">
              <a16:creationId xmlns:a16="http://schemas.microsoft.com/office/drawing/2014/main" id="{00000000-0008-0000-0C00-00004A000000}"/>
            </a:ext>
          </a:extLst>
        </xdr:cNvPr>
        <xdr:cNvCxnSpPr/>
      </xdr:nvCxnSpPr>
      <xdr:spPr>
        <a:xfrm rot="10800000">
          <a:off x="8067675" y="1009650"/>
          <a:ext cx="1504952" cy="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381000</xdr:colOff>
      <xdr:row>26</xdr:row>
      <xdr:rowOff>57150</xdr:rowOff>
    </xdr:from>
    <xdr:to>
      <xdr:col>23</xdr:col>
      <xdr:colOff>247650</xdr:colOff>
      <xdr:row>30</xdr:row>
      <xdr:rowOff>57150</xdr:rowOff>
    </xdr:to>
    <xdr:sp macro="" textlink="">
      <xdr:nvSpPr>
        <xdr:cNvPr id="77" name="Rectangle 76">
          <a:extLst>
            <a:ext uri="{FF2B5EF4-FFF2-40B4-BE49-F238E27FC236}">
              <a16:creationId xmlns:a16="http://schemas.microsoft.com/office/drawing/2014/main" id="{00000000-0008-0000-0C00-00004D000000}"/>
            </a:ext>
          </a:extLst>
        </xdr:cNvPr>
        <xdr:cNvSpPr/>
      </xdr:nvSpPr>
      <xdr:spPr>
        <a:xfrm>
          <a:off x="11325225" y="5010150"/>
          <a:ext cx="476250" cy="762000"/>
        </a:xfrm>
        <a:prstGeom prst="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15</xdr:col>
      <xdr:colOff>323850</xdr:colOff>
      <xdr:row>6</xdr:row>
      <xdr:rowOff>28575</xdr:rowOff>
    </xdr:from>
    <xdr:to>
      <xdr:col>19</xdr:col>
      <xdr:colOff>357187</xdr:colOff>
      <xdr:row>11</xdr:row>
      <xdr:rowOff>26987</xdr:rowOff>
    </xdr:to>
    <xdr:sp macro="" textlink="">
      <xdr:nvSpPr>
        <xdr:cNvPr id="61" name="Freeform 60">
          <a:extLst>
            <a:ext uri="{FF2B5EF4-FFF2-40B4-BE49-F238E27FC236}">
              <a16:creationId xmlns:a16="http://schemas.microsoft.com/office/drawing/2014/main" id="{00000000-0008-0000-0C00-00003D000000}"/>
            </a:ext>
          </a:extLst>
        </xdr:cNvPr>
        <xdr:cNvSpPr/>
      </xdr:nvSpPr>
      <xdr:spPr>
        <a:xfrm>
          <a:off x="7000875" y="5172075"/>
          <a:ext cx="2471737" cy="950912"/>
        </a:xfrm>
        <a:custGeom>
          <a:avLst/>
          <a:gdLst>
            <a:gd name="connsiteX0" fmla="*/ 0 w 2290762"/>
            <a:gd name="connsiteY0" fmla="*/ 944562 h 1255712"/>
            <a:gd name="connsiteX1" fmla="*/ 1104900 w 2290762"/>
            <a:gd name="connsiteY1" fmla="*/ 1125537 h 1255712"/>
            <a:gd name="connsiteX2" fmla="*/ 1943100 w 2290762"/>
            <a:gd name="connsiteY2" fmla="*/ 163512 h 1255712"/>
            <a:gd name="connsiteX3" fmla="*/ 2238375 w 2290762"/>
            <a:gd name="connsiteY3" fmla="*/ 144462 h 1255712"/>
            <a:gd name="connsiteX4" fmla="*/ 2257425 w 2290762"/>
            <a:gd name="connsiteY4" fmla="*/ 144462 h 125571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290762" h="1255712">
              <a:moveTo>
                <a:pt x="0" y="944562"/>
              </a:moveTo>
              <a:cubicBezTo>
                <a:pt x="390525" y="1100137"/>
                <a:pt x="781050" y="1255712"/>
                <a:pt x="1104900" y="1125537"/>
              </a:cubicBezTo>
              <a:cubicBezTo>
                <a:pt x="1428750" y="995362"/>
                <a:pt x="1754188" y="327024"/>
                <a:pt x="1943100" y="163512"/>
              </a:cubicBezTo>
              <a:cubicBezTo>
                <a:pt x="2132012" y="0"/>
                <a:pt x="2185988" y="147637"/>
                <a:pt x="2238375" y="144462"/>
              </a:cubicBezTo>
              <a:cubicBezTo>
                <a:pt x="2290762" y="141287"/>
                <a:pt x="2274093" y="142874"/>
                <a:pt x="2257425" y="144462"/>
              </a:cubicBezTo>
            </a:path>
          </a:pathLst>
        </a:cu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editAs="oneCell">
    <xdr:from>
      <xdr:col>15</xdr:col>
      <xdr:colOff>514350</xdr:colOff>
      <xdr:row>5</xdr:row>
      <xdr:rowOff>152400</xdr:rowOff>
    </xdr:from>
    <xdr:to>
      <xdr:col>16</xdr:col>
      <xdr:colOff>504825</xdr:colOff>
      <xdr:row>9</xdr:row>
      <xdr:rowOff>9524</xdr:rowOff>
    </xdr:to>
    <xdr:pic>
      <xdr:nvPicPr>
        <xdr:cNvPr id="70" name="Picture 1">
          <a:extLst>
            <a:ext uri="{FF2B5EF4-FFF2-40B4-BE49-F238E27FC236}">
              <a16:creationId xmlns:a16="http://schemas.microsoft.com/office/drawing/2014/main" id="{00000000-0008-0000-0C00-000046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191375" y="5676900"/>
          <a:ext cx="600075" cy="619124"/>
        </a:xfrm>
        <a:prstGeom prst="rect">
          <a:avLst/>
        </a:prstGeom>
        <a:noFill/>
        <a:ln w="9525">
          <a:noFill/>
          <a:miter lim="800000"/>
          <a:headEnd/>
          <a:tailEnd/>
        </a:ln>
      </xdr:spPr>
    </xdr:pic>
    <xdr:clientData/>
  </xdr:twoCellAnchor>
  <xdr:twoCellAnchor editAs="oneCell">
    <xdr:from>
      <xdr:col>17</xdr:col>
      <xdr:colOff>400049</xdr:colOff>
      <xdr:row>4</xdr:row>
      <xdr:rowOff>104775</xdr:rowOff>
    </xdr:from>
    <xdr:to>
      <xdr:col>20</xdr:col>
      <xdr:colOff>238124</xdr:colOff>
      <xdr:row>9</xdr:row>
      <xdr:rowOff>114299</xdr:rowOff>
    </xdr:to>
    <xdr:pic>
      <xdr:nvPicPr>
        <xdr:cNvPr id="75" name="Picture 1">
          <a:extLst>
            <a:ext uri="{FF2B5EF4-FFF2-40B4-BE49-F238E27FC236}">
              <a16:creationId xmlns:a16="http://schemas.microsoft.com/office/drawing/2014/main" id="{00000000-0008-0000-0C00-00004B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296274" y="4867275"/>
          <a:ext cx="1666875" cy="962024"/>
        </a:xfrm>
        <a:prstGeom prst="rect">
          <a:avLst/>
        </a:prstGeom>
        <a:noFill/>
        <a:ln w="9525">
          <a:noFill/>
          <a:miter lim="800000"/>
          <a:headEnd/>
          <a:tailEnd/>
        </a:ln>
      </xdr:spPr>
    </xdr:pic>
    <xdr:clientData/>
  </xdr:twoCellAnchor>
  <xdr:twoCellAnchor editAs="oneCell">
    <xdr:from>
      <xdr:col>19</xdr:col>
      <xdr:colOff>1</xdr:colOff>
      <xdr:row>5</xdr:row>
      <xdr:rowOff>148620</xdr:rowOff>
    </xdr:from>
    <xdr:to>
      <xdr:col>19</xdr:col>
      <xdr:colOff>419100</xdr:colOff>
      <xdr:row>8</xdr:row>
      <xdr:rowOff>9523</xdr:rowOff>
    </xdr:to>
    <xdr:pic>
      <xdr:nvPicPr>
        <xdr:cNvPr id="76" name="Picture 1">
          <a:extLst>
            <a:ext uri="{FF2B5EF4-FFF2-40B4-BE49-F238E27FC236}">
              <a16:creationId xmlns:a16="http://schemas.microsoft.com/office/drawing/2014/main" id="{00000000-0008-0000-0C00-00004C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9115426" y="5101620"/>
          <a:ext cx="419099" cy="432403"/>
        </a:xfrm>
        <a:prstGeom prst="rect">
          <a:avLst/>
        </a:prstGeom>
        <a:noFill/>
        <a:ln w="9525">
          <a:noFill/>
          <a:miter lim="800000"/>
          <a:headEnd/>
          <a:tailEnd/>
        </a:ln>
      </xdr:spPr>
    </xdr:pic>
    <xdr:clientData/>
  </xdr:twoCellAnchor>
  <xdr:twoCellAnchor editAs="oneCell">
    <xdr:from>
      <xdr:col>19</xdr:col>
      <xdr:colOff>504825</xdr:colOff>
      <xdr:row>17</xdr:row>
      <xdr:rowOff>85725</xdr:rowOff>
    </xdr:from>
    <xdr:to>
      <xdr:col>20</xdr:col>
      <xdr:colOff>495300</xdr:colOff>
      <xdr:row>20</xdr:row>
      <xdr:rowOff>133349</xdr:rowOff>
    </xdr:to>
    <xdr:pic>
      <xdr:nvPicPr>
        <xdr:cNvPr id="78" name="Picture 1">
          <a:extLst>
            <a:ext uri="{FF2B5EF4-FFF2-40B4-BE49-F238E27FC236}">
              <a16:creationId xmlns:a16="http://schemas.microsoft.com/office/drawing/2014/main" id="{00000000-0008-0000-0C00-00004E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9620250" y="7324725"/>
          <a:ext cx="600075" cy="619124"/>
        </a:xfrm>
        <a:prstGeom prst="rect">
          <a:avLst/>
        </a:prstGeom>
        <a:noFill/>
        <a:ln w="9525">
          <a:noFill/>
          <a:miter lim="800000"/>
          <a:headEnd/>
          <a:tailEnd/>
        </a:ln>
      </xdr:spPr>
    </xdr:pic>
    <xdr:clientData/>
  </xdr:twoCellAnchor>
  <xdr:twoCellAnchor editAs="oneCell">
    <xdr:from>
      <xdr:col>19</xdr:col>
      <xdr:colOff>257180</xdr:colOff>
      <xdr:row>3</xdr:row>
      <xdr:rowOff>0</xdr:rowOff>
    </xdr:from>
    <xdr:to>
      <xdr:col>20</xdr:col>
      <xdr:colOff>95252</xdr:colOff>
      <xdr:row>5</xdr:row>
      <xdr:rowOff>28575</xdr:rowOff>
    </xdr:to>
    <xdr:pic>
      <xdr:nvPicPr>
        <xdr:cNvPr id="79" name="Picture 1">
          <a:extLst>
            <a:ext uri="{FF2B5EF4-FFF2-40B4-BE49-F238E27FC236}">
              <a16:creationId xmlns:a16="http://schemas.microsoft.com/office/drawing/2014/main" id="{00000000-0008-0000-0C00-00004F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rot="16200000">
          <a:off x="9391653" y="3971927"/>
          <a:ext cx="409575" cy="447672"/>
        </a:xfrm>
        <a:prstGeom prst="rect">
          <a:avLst/>
        </a:prstGeom>
        <a:noFill/>
        <a:ln w="9525">
          <a:noFill/>
          <a:miter lim="800000"/>
          <a:headEnd/>
          <a:tailEnd/>
        </a:ln>
      </xdr:spPr>
    </xdr:pic>
    <xdr:clientData/>
  </xdr:twoCellAnchor>
  <xdr:twoCellAnchor editAs="oneCell">
    <xdr:from>
      <xdr:col>16</xdr:col>
      <xdr:colOff>590550</xdr:colOff>
      <xdr:row>8</xdr:row>
      <xdr:rowOff>57150</xdr:rowOff>
    </xdr:from>
    <xdr:to>
      <xdr:col>17</xdr:col>
      <xdr:colOff>266700</xdr:colOff>
      <xdr:row>10</xdr:row>
      <xdr:rowOff>19048</xdr:rowOff>
    </xdr:to>
    <xdr:pic>
      <xdr:nvPicPr>
        <xdr:cNvPr id="80" name="Picture 1">
          <a:extLst>
            <a:ext uri="{FF2B5EF4-FFF2-40B4-BE49-F238E27FC236}">
              <a16:creationId xmlns:a16="http://schemas.microsoft.com/office/drawing/2014/main" id="{00000000-0008-0000-0C00-000050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877175" y="5581650"/>
          <a:ext cx="285750" cy="342898"/>
        </a:xfrm>
        <a:prstGeom prst="rect">
          <a:avLst/>
        </a:prstGeom>
        <a:noFill/>
        <a:ln w="9525">
          <a:noFill/>
          <a:miter lim="800000"/>
          <a:headEnd/>
          <a:tailEnd/>
        </a:ln>
      </xdr:spPr>
    </xdr:pic>
    <xdr:clientData/>
  </xdr:twoCellAnchor>
  <xdr:twoCellAnchor editAs="oneCell">
    <xdr:from>
      <xdr:col>19</xdr:col>
      <xdr:colOff>447675</xdr:colOff>
      <xdr:row>6</xdr:row>
      <xdr:rowOff>47626</xdr:rowOff>
    </xdr:from>
    <xdr:to>
      <xdr:col>20</xdr:col>
      <xdr:colOff>295275</xdr:colOff>
      <xdr:row>8</xdr:row>
      <xdr:rowOff>85724</xdr:rowOff>
    </xdr:to>
    <xdr:pic>
      <xdr:nvPicPr>
        <xdr:cNvPr id="81" name="Picture 1">
          <a:extLst>
            <a:ext uri="{FF2B5EF4-FFF2-40B4-BE49-F238E27FC236}">
              <a16:creationId xmlns:a16="http://schemas.microsoft.com/office/drawing/2014/main" id="{00000000-0008-0000-0C00-000051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9563100" y="5191126"/>
          <a:ext cx="457200" cy="419098"/>
        </a:xfrm>
        <a:prstGeom prst="rect">
          <a:avLst/>
        </a:prstGeom>
        <a:noFill/>
        <a:ln w="9525">
          <a:noFill/>
          <a:miter lim="800000"/>
          <a:headEnd/>
          <a:tailEnd/>
        </a:ln>
      </xdr:spPr>
    </xdr:pic>
    <xdr:clientData/>
  </xdr:twoCellAnchor>
  <xdr:twoCellAnchor>
    <xdr:from>
      <xdr:col>17</xdr:col>
      <xdr:colOff>371478</xdr:colOff>
      <xdr:row>4</xdr:row>
      <xdr:rowOff>123826</xdr:rowOff>
    </xdr:from>
    <xdr:to>
      <xdr:col>17</xdr:col>
      <xdr:colOff>381001</xdr:colOff>
      <xdr:row>8</xdr:row>
      <xdr:rowOff>66675</xdr:rowOff>
    </xdr:to>
    <xdr:cxnSp macro="">
      <xdr:nvCxnSpPr>
        <xdr:cNvPr id="83" name="Straight Connector 82">
          <a:extLst>
            <a:ext uri="{FF2B5EF4-FFF2-40B4-BE49-F238E27FC236}">
              <a16:creationId xmlns:a16="http://schemas.microsoft.com/office/drawing/2014/main" id="{00000000-0008-0000-0C00-000053000000}"/>
            </a:ext>
          </a:extLst>
        </xdr:cNvPr>
        <xdr:cNvCxnSpPr/>
      </xdr:nvCxnSpPr>
      <xdr:spPr>
        <a:xfrm rot="16200000" flipV="1">
          <a:off x="7920040" y="5233989"/>
          <a:ext cx="704849" cy="952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476131</xdr:colOff>
      <xdr:row>19</xdr:row>
      <xdr:rowOff>57150</xdr:rowOff>
    </xdr:from>
    <xdr:to>
      <xdr:col>17</xdr:col>
      <xdr:colOff>600075</xdr:colOff>
      <xdr:row>25</xdr:row>
      <xdr:rowOff>76200</xdr:rowOff>
    </xdr:to>
    <xdr:pic>
      <xdr:nvPicPr>
        <xdr:cNvPr id="68" name="Picture 4837" descr="C:\Program Files\Microsoft Office\MEDIA\CAGCAT10\j0205462.wmf">
          <a:extLst>
            <a:ext uri="{FF2B5EF4-FFF2-40B4-BE49-F238E27FC236}">
              <a16:creationId xmlns:a16="http://schemas.microsoft.com/office/drawing/2014/main" id="{00000000-0008-0000-0C00-00004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762756" y="7677150"/>
          <a:ext cx="733544" cy="1162050"/>
        </a:xfrm>
        <a:prstGeom prst="rect">
          <a:avLst/>
        </a:prstGeom>
        <a:noFill/>
        <a:ln w="9525">
          <a:noFill/>
          <a:miter lim="800000"/>
          <a:headEnd/>
          <a:tailEnd/>
        </a:ln>
      </xdr:spPr>
    </xdr:pic>
    <xdr:clientData/>
  </xdr:twoCellAnchor>
  <xdr:twoCellAnchor>
    <xdr:from>
      <xdr:col>17</xdr:col>
      <xdr:colOff>142878</xdr:colOff>
      <xdr:row>7</xdr:row>
      <xdr:rowOff>57150</xdr:rowOff>
    </xdr:from>
    <xdr:to>
      <xdr:col>18</xdr:col>
      <xdr:colOff>361951</xdr:colOff>
      <xdr:row>11</xdr:row>
      <xdr:rowOff>28578</xdr:rowOff>
    </xdr:to>
    <xdr:cxnSp macro="">
      <xdr:nvCxnSpPr>
        <xdr:cNvPr id="86" name="Straight Connector 85">
          <a:extLst>
            <a:ext uri="{FF2B5EF4-FFF2-40B4-BE49-F238E27FC236}">
              <a16:creationId xmlns:a16="http://schemas.microsoft.com/office/drawing/2014/main" id="{00000000-0008-0000-0C00-000056000000}"/>
            </a:ext>
          </a:extLst>
        </xdr:cNvPr>
        <xdr:cNvCxnSpPr/>
      </xdr:nvCxnSpPr>
      <xdr:spPr>
        <a:xfrm rot="10800000" flipV="1">
          <a:off x="8039103" y="5391150"/>
          <a:ext cx="828673" cy="73342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228600</xdr:colOff>
      <xdr:row>124</xdr:row>
      <xdr:rowOff>180975</xdr:rowOff>
    </xdr:from>
    <xdr:to>
      <xdr:col>0</xdr:col>
      <xdr:colOff>228603</xdr:colOff>
      <xdr:row>133</xdr:row>
      <xdr:rowOff>47626</xdr:rowOff>
    </xdr:to>
    <xdr:cxnSp macro="">
      <xdr:nvCxnSpPr>
        <xdr:cNvPr id="89" name="Straight Connector 88">
          <a:extLst>
            <a:ext uri="{FF2B5EF4-FFF2-40B4-BE49-F238E27FC236}">
              <a16:creationId xmlns:a16="http://schemas.microsoft.com/office/drawing/2014/main" id="{00000000-0008-0000-0C00-000059000000}"/>
            </a:ext>
          </a:extLst>
        </xdr:cNvPr>
        <xdr:cNvCxnSpPr/>
      </xdr:nvCxnSpPr>
      <xdr:spPr>
        <a:xfrm rot="16200000" flipV="1">
          <a:off x="-561974" y="29165549"/>
          <a:ext cx="1581151" cy="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171454</xdr:colOff>
      <xdr:row>2</xdr:row>
      <xdr:rowOff>104775</xdr:rowOff>
    </xdr:from>
    <xdr:to>
      <xdr:col>12</xdr:col>
      <xdr:colOff>771525</xdr:colOff>
      <xdr:row>9</xdr:row>
      <xdr:rowOff>180977</xdr:rowOff>
    </xdr:to>
    <xdr:cxnSp macro="">
      <xdr:nvCxnSpPr>
        <xdr:cNvPr id="90" name="Straight Connector 89">
          <a:extLst>
            <a:ext uri="{FF2B5EF4-FFF2-40B4-BE49-F238E27FC236}">
              <a16:creationId xmlns:a16="http://schemas.microsoft.com/office/drawing/2014/main" id="{00000000-0008-0000-0C00-00005A000000}"/>
            </a:ext>
          </a:extLst>
        </xdr:cNvPr>
        <xdr:cNvCxnSpPr/>
      </xdr:nvCxnSpPr>
      <xdr:spPr>
        <a:xfrm flipV="1">
          <a:off x="3848104" y="5057775"/>
          <a:ext cx="1209671" cy="140970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402071</xdr:colOff>
      <xdr:row>5</xdr:row>
      <xdr:rowOff>54920</xdr:rowOff>
    </xdr:from>
    <xdr:to>
      <xdr:col>20</xdr:col>
      <xdr:colOff>420989</xdr:colOff>
      <xdr:row>25</xdr:row>
      <xdr:rowOff>16683</xdr:rowOff>
    </xdr:to>
    <xdr:sp macro="" textlink="">
      <xdr:nvSpPr>
        <xdr:cNvPr id="97" name="Freeform 96">
          <a:extLst>
            <a:ext uri="{FF2B5EF4-FFF2-40B4-BE49-F238E27FC236}">
              <a16:creationId xmlns:a16="http://schemas.microsoft.com/office/drawing/2014/main" id="{00000000-0008-0000-0C00-000061000000}"/>
            </a:ext>
          </a:extLst>
        </xdr:cNvPr>
        <xdr:cNvSpPr/>
      </xdr:nvSpPr>
      <xdr:spPr>
        <a:xfrm rot="20116786" flipH="1">
          <a:off x="8907896" y="5007920"/>
          <a:ext cx="1238118" cy="3771763"/>
        </a:xfrm>
        <a:custGeom>
          <a:avLst/>
          <a:gdLst>
            <a:gd name="connsiteX0" fmla="*/ 1604962 w 1604962"/>
            <a:gd name="connsiteY0" fmla="*/ 0 h 2238375"/>
            <a:gd name="connsiteX1" fmla="*/ 14287 w 1604962"/>
            <a:gd name="connsiteY1" fmla="*/ 485775 h 2238375"/>
            <a:gd name="connsiteX2" fmla="*/ 1519237 w 1604962"/>
            <a:gd name="connsiteY2" fmla="*/ 2238375 h 2238375"/>
          </a:gdLst>
          <a:ahLst/>
          <a:cxnLst>
            <a:cxn ang="0">
              <a:pos x="connsiteX0" y="connsiteY0"/>
            </a:cxn>
            <a:cxn ang="0">
              <a:pos x="connsiteX1" y="connsiteY1"/>
            </a:cxn>
            <a:cxn ang="0">
              <a:pos x="connsiteX2" y="connsiteY2"/>
            </a:cxn>
          </a:cxnLst>
          <a:rect l="l" t="t" r="r" b="b"/>
          <a:pathLst>
            <a:path w="1604962" h="2238375">
              <a:moveTo>
                <a:pt x="1604962" y="0"/>
              </a:moveTo>
              <a:cubicBezTo>
                <a:pt x="816768" y="56356"/>
                <a:pt x="28575" y="112713"/>
                <a:pt x="14287" y="485775"/>
              </a:cubicBezTo>
              <a:cubicBezTo>
                <a:pt x="0" y="858838"/>
                <a:pt x="759618" y="1548606"/>
                <a:pt x="1519237" y="2238375"/>
              </a:cubicBezTo>
            </a:path>
          </a:pathLst>
        </a:cu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20</xdr:col>
      <xdr:colOff>409574</xdr:colOff>
      <xdr:row>25</xdr:row>
      <xdr:rowOff>85724</xdr:rowOff>
    </xdr:from>
    <xdr:to>
      <xdr:col>22</xdr:col>
      <xdr:colOff>428492</xdr:colOff>
      <xdr:row>45</xdr:row>
      <xdr:rowOff>47487</xdr:rowOff>
    </xdr:to>
    <xdr:sp macro="" textlink="">
      <xdr:nvSpPr>
        <xdr:cNvPr id="100" name="Freeform 99">
          <a:extLst>
            <a:ext uri="{FF2B5EF4-FFF2-40B4-BE49-F238E27FC236}">
              <a16:creationId xmlns:a16="http://schemas.microsoft.com/office/drawing/2014/main" id="{00000000-0008-0000-0C00-000064000000}"/>
            </a:ext>
          </a:extLst>
        </xdr:cNvPr>
        <xdr:cNvSpPr/>
      </xdr:nvSpPr>
      <xdr:spPr>
        <a:xfrm rot="20514227" flipH="1">
          <a:off x="10134599" y="4848224"/>
          <a:ext cx="1238118" cy="3771763"/>
        </a:xfrm>
        <a:custGeom>
          <a:avLst/>
          <a:gdLst>
            <a:gd name="connsiteX0" fmla="*/ 1604962 w 1604962"/>
            <a:gd name="connsiteY0" fmla="*/ 0 h 2238375"/>
            <a:gd name="connsiteX1" fmla="*/ 14287 w 1604962"/>
            <a:gd name="connsiteY1" fmla="*/ 485775 h 2238375"/>
            <a:gd name="connsiteX2" fmla="*/ 1519237 w 1604962"/>
            <a:gd name="connsiteY2" fmla="*/ 2238375 h 2238375"/>
          </a:gdLst>
          <a:ahLst/>
          <a:cxnLst>
            <a:cxn ang="0">
              <a:pos x="connsiteX0" y="connsiteY0"/>
            </a:cxn>
            <a:cxn ang="0">
              <a:pos x="connsiteX1" y="connsiteY1"/>
            </a:cxn>
            <a:cxn ang="0">
              <a:pos x="connsiteX2" y="connsiteY2"/>
            </a:cxn>
          </a:cxnLst>
          <a:rect l="l" t="t" r="r" b="b"/>
          <a:pathLst>
            <a:path w="1604962" h="2238375">
              <a:moveTo>
                <a:pt x="1604962" y="0"/>
              </a:moveTo>
              <a:cubicBezTo>
                <a:pt x="816768" y="56356"/>
                <a:pt x="28575" y="112713"/>
                <a:pt x="14287" y="485775"/>
              </a:cubicBezTo>
              <a:cubicBezTo>
                <a:pt x="0" y="858838"/>
                <a:pt x="759618" y="1548606"/>
                <a:pt x="1519237" y="2238375"/>
              </a:cubicBezTo>
            </a:path>
          </a:pathLst>
        </a:cu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7</xdr:col>
      <xdr:colOff>409575</xdr:colOff>
      <xdr:row>9</xdr:row>
      <xdr:rowOff>9525</xdr:rowOff>
    </xdr:from>
    <xdr:to>
      <xdr:col>11</xdr:col>
      <xdr:colOff>161931</xdr:colOff>
      <xdr:row>9</xdr:row>
      <xdr:rowOff>171459</xdr:rowOff>
    </xdr:to>
    <xdr:cxnSp macro="">
      <xdr:nvCxnSpPr>
        <xdr:cNvPr id="126" name="Straight Connector 125">
          <a:extLst>
            <a:ext uri="{FF2B5EF4-FFF2-40B4-BE49-F238E27FC236}">
              <a16:creationId xmlns:a16="http://schemas.microsoft.com/office/drawing/2014/main" id="{00000000-0008-0000-0C00-00007E000000}"/>
            </a:ext>
          </a:extLst>
        </xdr:cNvPr>
        <xdr:cNvCxnSpPr/>
      </xdr:nvCxnSpPr>
      <xdr:spPr>
        <a:xfrm rot="10800000">
          <a:off x="2924175" y="6296025"/>
          <a:ext cx="914406" cy="16193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104776</xdr:colOff>
      <xdr:row>9</xdr:row>
      <xdr:rowOff>95255</xdr:rowOff>
    </xdr:from>
    <xdr:to>
      <xdr:col>17</xdr:col>
      <xdr:colOff>104780</xdr:colOff>
      <xdr:row>24</xdr:row>
      <xdr:rowOff>142882</xdr:rowOff>
    </xdr:to>
    <xdr:cxnSp macro="">
      <xdr:nvCxnSpPr>
        <xdr:cNvPr id="93" name="Straight Connector 92">
          <a:extLst>
            <a:ext uri="{FF2B5EF4-FFF2-40B4-BE49-F238E27FC236}">
              <a16:creationId xmlns:a16="http://schemas.microsoft.com/office/drawing/2014/main" id="{00000000-0008-0000-0C00-00005D000000}"/>
            </a:ext>
          </a:extLst>
        </xdr:cNvPr>
        <xdr:cNvCxnSpPr/>
      </xdr:nvCxnSpPr>
      <xdr:spPr>
        <a:xfrm rot="16200000" flipV="1">
          <a:off x="6548439" y="7262817"/>
          <a:ext cx="2905127" cy="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295275</xdr:colOff>
      <xdr:row>7</xdr:row>
      <xdr:rowOff>28574</xdr:rowOff>
    </xdr:from>
    <xdr:to>
      <xdr:col>15</xdr:col>
      <xdr:colOff>295280</xdr:colOff>
      <xdr:row>13</xdr:row>
      <xdr:rowOff>114303</xdr:rowOff>
    </xdr:to>
    <xdr:cxnSp macro="">
      <xdr:nvCxnSpPr>
        <xdr:cNvPr id="98" name="Straight Connector 97">
          <a:extLst>
            <a:ext uri="{FF2B5EF4-FFF2-40B4-BE49-F238E27FC236}">
              <a16:creationId xmlns:a16="http://schemas.microsoft.com/office/drawing/2014/main" id="{00000000-0008-0000-0C00-000062000000}"/>
            </a:ext>
          </a:extLst>
        </xdr:cNvPr>
        <xdr:cNvCxnSpPr/>
      </xdr:nvCxnSpPr>
      <xdr:spPr>
        <a:xfrm rot="16200000" flipV="1">
          <a:off x="8139113" y="1976436"/>
          <a:ext cx="1228729" cy="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400847</xdr:colOff>
      <xdr:row>5</xdr:row>
      <xdr:rowOff>29374</xdr:rowOff>
    </xdr:from>
    <xdr:to>
      <xdr:col>12</xdr:col>
      <xdr:colOff>885828</xdr:colOff>
      <xdr:row>6</xdr:row>
      <xdr:rowOff>104775</xdr:rowOff>
    </xdr:to>
    <xdr:cxnSp macro="">
      <xdr:nvCxnSpPr>
        <xdr:cNvPr id="101" name="Straight Connector 100">
          <a:extLst>
            <a:ext uri="{FF2B5EF4-FFF2-40B4-BE49-F238E27FC236}">
              <a16:creationId xmlns:a16="http://schemas.microsoft.com/office/drawing/2014/main" id="{00000000-0008-0000-0C00-000065000000}"/>
            </a:ext>
          </a:extLst>
        </xdr:cNvPr>
        <xdr:cNvCxnSpPr/>
      </xdr:nvCxnSpPr>
      <xdr:spPr>
        <a:xfrm flipH="1" flipV="1">
          <a:off x="4687097" y="5553874"/>
          <a:ext cx="484981" cy="26590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447675</xdr:colOff>
      <xdr:row>3</xdr:row>
      <xdr:rowOff>0</xdr:rowOff>
    </xdr:from>
    <xdr:to>
      <xdr:col>17</xdr:col>
      <xdr:colOff>161925</xdr:colOff>
      <xdr:row>4</xdr:row>
      <xdr:rowOff>158749</xdr:rowOff>
    </xdr:to>
    <xdr:pic>
      <xdr:nvPicPr>
        <xdr:cNvPr id="136" name="Picture 1">
          <a:extLst>
            <a:ext uri="{FF2B5EF4-FFF2-40B4-BE49-F238E27FC236}">
              <a16:creationId xmlns:a16="http://schemas.microsoft.com/office/drawing/2014/main" id="{00000000-0008-0000-0C00-000088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734300" y="4556124"/>
          <a:ext cx="323850" cy="349249"/>
        </a:xfrm>
        <a:prstGeom prst="rect">
          <a:avLst/>
        </a:prstGeom>
        <a:noFill/>
        <a:ln w="9525">
          <a:noFill/>
          <a:miter lim="800000"/>
          <a:headEnd/>
          <a:tailEnd/>
        </a:ln>
      </xdr:spPr>
    </xdr:pic>
    <xdr:clientData/>
  </xdr:twoCellAnchor>
  <xdr:twoCellAnchor editAs="oneCell">
    <xdr:from>
      <xdr:col>15</xdr:col>
      <xdr:colOff>104775</xdr:colOff>
      <xdr:row>13</xdr:row>
      <xdr:rowOff>5415</xdr:rowOff>
    </xdr:from>
    <xdr:to>
      <xdr:col>15</xdr:col>
      <xdr:colOff>361951</xdr:colOff>
      <xdr:row>14</xdr:row>
      <xdr:rowOff>133348</xdr:rowOff>
    </xdr:to>
    <xdr:pic>
      <xdr:nvPicPr>
        <xdr:cNvPr id="137" name="Picture 1">
          <a:extLst>
            <a:ext uri="{FF2B5EF4-FFF2-40B4-BE49-F238E27FC236}">
              <a16:creationId xmlns:a16="http://schemas.microsoft.com/office/drawing/2014/main" id="{00000000-0008-0000-0C00-000089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781800" y="7053915"/>
          <a:ext cx="257176" cy="318433"/>
        </a:xfrm>
        <a:prstGeom prst="rect">
          <a:avLst/>
        </a:prstGeom>
        <a:noFill/>
        <a:ln w="9525">
          <a:noFill/>
          <a:miter lim="800000"/>
          <a:headEnd/>
          <a:tailEnd/>
        </a:ln>
      </xdr:spPr>
    </xdr:pic>
    <xdr:clientData/>
  </xdr:twoCellAnchor>
  <xdr:twoCellAnchor editAs="oneCell">
    <xdr:from>
      <xdr:col>17</xdr:col>
      <xdr:colOff>219075</xdr:colOff>
      <xdr:row>12</xdr:row>
      <xdr:rowOff>184149</xdr:rowOff>
    </xdr:from>
    <xdr:to>
      <xdr:col>17</xdr:col>
      <xdr:colOff>542925</xdr:colOff>
      <xdr:row>14</xdr:row>
      <xdr:rowOff>152398</xdr:rowOff>
    </xdr:to>
    <xdr:pic>
      <xdr:nvPicPr>
        <xdr:cNvPr id="138" name="Picture 1">
          <a:extLst>
            <a:ext uri="{FF2B5EF4-FFF2-40B4-BE49-F238E27FC236}">
              <a16:creationId xmlns:a16="http://schemas.microsoft.com/office/drawing/2014/main" id="{00000000-0008-0000-0C00-00008A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115300" y="6470649"/>
          <a:ext cx="323850" cy="349249"/>
        </a:xfrm>
        <a:prstGeom prst="rect">
          <a:avLst/>
        </a:prstGeom>
        <a:noFill/>
        <a:ln w="9525">
          <a:noFill/>
          <a:miter lim="800000"/>
          <a:headEnd/>
          <a:tailEnd/>
        </a:ln>
      </xdr:spPr>
    </xdr:pic>
    <xdr:clientData/>
  </xdr:twoCellAnchor>
  <xdr:twoCellAnchor editAs="oneCell">
    <xdr:from>
      <xdr:col>16</xdr:col>
      <xdr:colOff>161925</xdr:colOff>
      <xdr:row>3</xdr:row>
      <xdr:rowOff>0</xdr:rowOff>
    </xdr:from>
    <xdr:to>
      <xdr:col>16</xdr:col>
      <xdr:colOff>419101</xdr:colOff>
      <xdr:row>4</xdr:row>
      <xdr:rowOff>127933</xdr:rowOff>
    </xdr:to>
    <xdr:pic>
      <xdr:nvPicPr>
        <xdr:cNvPr id="139" name="Picture 1">
          <a:extLst>
            <a:ext uri="{FF2B5EF4-FFF2-40B4-BE49-F238E27FC236}">
              <a16:creationId xmlns:a16="http://schemas.microsoft.com/office/drawing/2014/main" id="{00000000-0008-0000-0C00-00008B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448550" y="4310715"/>
          <a:ext cx="257176" cy="318433"/>
        </a:xfrm>
        <a:prstGeom prst="rect">
          <a:avLst/>
        </a:prstGeom>
        <a:noFill/>
        <a:ln w="9525">
          <a:noFill/>
          <a:miter lim="800000"/>
          <a:headEnd/>
          <a:tailEnd/>
        </a:ln>
      </xdr:spPr>
    </xdr:pic>
    <xdr:clientData/>
  </xdr:twoCellAnchor>
  <xdr:twoCellAnchor editAs="oneCell">
    <xdr:from>
      <xdr:col>15</xdr:col>
      <xdr:colOff>600075</xdr:colOff>
      <xdr:row>1</xdr:row>
      <xdr:rowOff>0</xdr:rowOff>
    </xdr:from>
    <xdr:to>
      <xdr:col>16</xdr:col>
      <xdr:colOff>247651</xdr:colOff>
      <xdr:row>2</xdr:row>
      <xdr:rowOff>127933</xdr:rowOff>
    </xdr:to>
    <xdr:pic>
      <xdr:nvPicPr>
        <xdr:cNvPr id="140" name="Picture 1">
          <a:extLst>
            <a:ext uri="{FF2B5EF4-FFF2-40B4-BE49-F238E27FC236}">
              <a16:creationId xmlns:a16="http://schemas.microsoft.com/office/drawing/2014/main" id="{00000000-0008-0000-0C00-00008C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277100" y="4748865"/>
          <a:ext cx="257176" cy="318433"/>
        </a:xfrm>
        <a:prstGeom prst="rect">
          <a:avLst/>
        </a:prstGeom>
        <a:noFill/>
        <a:ln w="9525">
          <a:noFill/>
          <a:miter lim="800000"/>
          <a:headEnd/>
          <a:tailEnd/>
        </a:ln>
      </xdr:spPr>
    </xdr:pic>
    <xdr:clientData/>
  </xdr:twoCellAnchor>
  <xdr:twoCellAnchor>
    <xdr:from>
      <xdr:col>15</xdr:col>
      <xdr:colOff>295275</xdr:colOff>
      <xdr:row>13</xdr:row>
      <xdr:rowOff>123826</xdr:rowOff>
    </xdr:from>
    <xdr:to>
      <xdr:col>16</xdr:col>
      <xdr:colOff>104775</xdr:colOff>
      <xdr:row>13</xdr:row>
      <xdr:rowOff>133351</xdr:rowOff>
    </xdr:to>
    <xdr:cxnSp macro="">
      <xdr:nvCxnSpPr>
        <xdr:cNvPr id="148" name="Straight Arrow Connector 147">
          <a:extLst>
            <a:ext uri="{FF2B5EF4-FFF2-40B4-BE49-F238E27FC236}">
              <a16:creationId xmlns:a16="http://schemas.microsoft.com/office/drawing/2014/main" id="{00000000-0008-0000-0C00-000094000000}"/>
            </a:ext>
          </a:extLst>
        </xdr:cNvPr>
        <xdr:cNvCxnSpPr/>
      </xdr:nvCxnSpPr>
      <xdr:spPr>
        <a:xfrm rot="10800000">
          <a:off x="6972300" y="7172326"/>
          <a:ext cx="419100" cy="9525"/>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314324</xdr:colOff>
      <xdr:row>16</xdr:row>
      <xdr:rowOff>38100</xdr:rowOff>
    </xdr:from>
    <xdr:to>
      <xdr:col>17</xdr:col>
      <xdr:colOff>552449</xdr:colOff>
      <xdr:row>17</xdr:row>
      <xdr:rowOff>81490</xdr:rowOff>
    </xdr:to>
    <xdr:sp macro="" textlink="">
      <xdr:nvSpPr>
        <xdr:cNvPr id="151" name="TextBox 150">
          <a:extLst>
            <a:ext uri="{FF2B5EF4-FFF2-40B4-BE49-F238E27FC236}">
              <a16:creationId xmlns:a16="http://schemas.microsoft.com/office/drawing/2014/main" id="{00000000-0008-0000-0C00-000097000000}"/>
            </a:ext>
          </a:extLst>
        </xdr:cNvPr>
        <xdr:cNvSpPr txBox="1"/>
      </xdr:nvSpPr>
      <xdr:spPr>
        <a:xfrm>
          <a:off x="7600949" y="7086600"/>
          <a:ext cx="847725" cy="233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id-ID" sz="900" baseline="0"/>
            <a:t> </a:t>
          </a:r>
          <a:r>
            <a:rPr lang="en-US" sz="900" baseline="0"/>
            <a:t>Ke </a:t>
          </a:r>
        </a:p>
        <a:p>
          <a:pPr algn="ctr"/>
          <a:r>
            <a:rPr lang="en-US" sz="900" baseline="0"/>
            <a:t>Larangan Lor</a:t>
          </a:r>
          <a:endParaRPr lang="id-ID" sz="900"/>
        </a:p>
      </xdr:txBody>
    </xdr:sp>
    <xdr:clientData/>
  </xdr:twoCellAnchor>
  <xdr:twoCellAnchor>
    <xdr:from>
      <xdr:col>18</xdr:col>
      <xdr:colOff>371482</xdr:colOff>
      <xdr:row>16</xdr:row>
      <xdr:rowOff>104779</xdr:rowOff>
    </xdr:from>
    <xdr:to>
      <xdr:col>18</xdr:col>
      <xdr:colOff>371486</xdr:colOff>
      <xdr:row>19</xdr:row>
      <xdr:rowOff>114308</xdr:rowOff>
    </xdr:to>
    <xdr:cxnSp macro="">
      <xdr:nvCxnSpPr>
        <xdr:cNvPr id="152" name="Straight Arrow Connector 151">
          <a:extLst>
            <a:ext uri="{FF2B5EF4-FFF2-40B4-BE49-F238E27FC236}">
              <a16:creationId xmlns:a16="http://schemas.microsoft.com/office/drawing/2014/main" id="{00000000-0008-0000-0C00-000098000000}"/>
            </a:ext>
          </a:extLst>
        </xdr:cNvPr>
        <xdr:cNvCxnSpPr/>
      </xdr:nvCxnSpPr>
      <xdr:spPr>
        <a:xfrm rot="16200000" flipH="1">
          <a:off x="8586794" y="7443792"/>
          <a:ext cx="581029" cy="4"/>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390525</xdr:colOff>
      <xdr:row>15</xdr:row>
      <xdr:rowOff>133351</xdr:rowOff>
    </xdr:from>
    <xdr:to>
      <xdr:col>19</xdr:col>
      <xdr:colOff>238125</xdr:colOff>
      <xdr:row>15</xdr:row>
      <xdr:rowOff>152400</xdr:rowOff>
    </xdr:to>
    <xdr:cxnSp macro="">
      <xdr:nvCxnSpPr>
        <xdr:cNvPr id="96" name="Straight Connector 95">
          <a:extLst>
            <a:ext uri="{FF2B5EF4-FFF2-40B4-BE49-F238E27FC236}">
              <a16:creationId xmlns:a16="http://schemas.microsoft.com/office/drawing/2014/main" id="{00000000-0008-0000-0C00-000060000000}"/>
            </a:ext>
          </a:extLst>
        </xdr:cNvPr>
        <xdr:cNvCxnSpPr/>
      </xdr:nvCxnSpPr>
      <xdr:spPr>
        <a:xfrm>
          <a:off x="7677150" y="6991351"/>
          <a:ext cx="1676400" cy="190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161928</xdr:colOff>
      <xdr:row>16</xdr:row>
      <xdr:rowOff>95258</xdr:rowOff>
    </xdr:from>
    <xdr:to>
      <xdr:col>18</xdr:col>
      <xdr:colOff>209549</xdr:colOff>
      <xdr:row>18</xdr:row>
      <xdr:rowOff>180980</xdr:rowOff>
    </xdr:to>
    <xdr:cxnSp macro="">
      <xdr:nvCxnSpPr>
        <xdr:cNvPr id="102" name="Straight Connector 101">
          <a:extLst>
            <a:ext uri="{FF2B5EF4-FFF2-40B4-BE49-F238E27FC236}">
              <a16:creationId xmlns:a16="http://schemas.microsoft.com/office/drawing/2014/main" id="{00000000-0008-0000-0C00-000066000000}"/>
            </a:ext>
          </a:extLst>
        </xdr:cNvPr>
        <xdr:cNvCxnSpPr/>
      </xdr:nvCxnSpPr>
      <xdr:spPr>
        <a:xfrm rot="5400000" flipH="1" flipV="1">
          <a:off x="8458203" y="7353308"/>
          <a:ext cx="466722" cy="4762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266701</xdr:colOff>
      <xdr:row>5</xdr:row>
      <xdr:rowOff>57150</xdr:rowOff>
    </xdr:from>
    <xdr:to>
      <xdr:col>12</xdr:col>
      <xdr:colOff>400050</xdr:colOff>
      <xdr:row>10</xdr:row>
      <xdr:rowOff>0</xdr:rowOff>
    </xdr:to>
    <xdr:cxnSp macro="">
      <xdr:nvCxnSpPr>
        <xdr:cNvPr id="104" name="Straight Connector 103">
          <a:extLst>
            <a:ext uri="{FF2B5EF4-FFF2-40B4-BE49-F238E27FC236}">
              <a16:creationId xmlns:a16="http://schemas.microsoft.com/office/drawing/2014/main" id="{00000000-0008-0000-0C00-000068000000}"/>
            </a:ext>
          </a:extLst>
        </xdr:cNvPr>
        <xdr:cNvCxnSpPr/>
      </xdr:nvCxnSpPr>
      <xdr:spPr>
        <a:xfrm flipV="1">
          <a:off x="3943351" y="5581650"/>
          <a:ext cx="742949" cy="8953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390525</xdr:colOff>
      <xdr:row>17</xdr:row>
      <xdr:rowOff>47625</xdr:rowOff>
    </xdr:from>
    <xdr:to>
      <xdr:col>18</xdr:col>
      <xdr:colOff>342900</xdr:colOff>
      <xdr:row>17</xdr:row>
      <xdr:rowOff>57150</xdr:rowOff>
    </xdr:to>
    <xdr:cxnSp macro="">
      <xdr:nvCxnSpPr>
        <xdr:cNvPr id="106" name="Straight Connector 105">
          <a:extLst>
            <a:ext uri="{FF2B5EF4-FFF2-40B4-BE49-F238E27FC236}">
              <a16:creationId xmlns:a16="http://schemas.microsoft.com/office/drawing/2014/main" id="{00000000-0008-0000-0C00-00006A000000}"/>
            </a:ext>
          </a:extLst>
        </xdr:cNvPr>
        <xdr:cNvCxnSpPr/>
      </xdr:nvCxnSpPr>
      <xdr:spPr>
        <a:xfrm>
          <a:off x="7067550" y="7286625"/>
          <a:ext cx="178117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161925</xdr:colOff>
      <xdr:row>9</xdr:row>
      <xdr:rowOff>85725</xdr:rowOff>
    </xdr:from>
    <xdr:to>
      <xdr:col>11</xdr:col>
      <xdr:colOff>133350</xdr:colOff>
      <xdr:row>10</xdr:row>
      <xdr:rowOff>76200</xdr:rowOff>
    </xdr:to>
    <xdr:cxnSp macro="">
      <xdr:nvCxnSpPr>
        <xdr:cNvPr id="108" name="Straight Connector 107">
          <a:extLst>
            <a:ext uri="{FF2B5EF4-FFF2-40B4-BE49-F238E27FC236}">
              <a16:creationId xmlns:a16="http://schemas.microsoft.com/office/drawing/2014/main" id="{00000000-0008-0000-0C00-00006C000000}"/>
            </a:ext>
          </a:extLst>
        </xdr:cNvPr>
        <xdr:cNvCxnSpPr/>
      </xdr:nvCxnSpPr>
      <xdr:spPr>
        <a:xfrm>
          <a:off x="2676525" y="6372225"/>
          <a:ext cx="1133475" cy="180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561181</xdr:colOff>
      <xdr:row>13</xdr:row>
      <xdr:rowOff>10319</xdr:rowOff>
    </xdr:from>
    <xdr:to>
      <xdr:col>17</xdr:col>
      <xdr:colOff>562769</xdr:colOff>
      <xdr:row>15</xdr:row>
      <xdr:rowOff>162719</xdr:rowOff>
    </xdr:to>
    <xdr:cxnSp macro="">
      <xdr:nvCxnSpPr>
        <xdr:cNvPr id="110" name="Straight Connector 109">
          <a:extLst>
            <a:ext uri="{FF2B5EF4-FFF2-40B4-BE49-F238E27FC236}">
              <a16:creationId xmlns:a16="http://schemas.microsoft.com/office/drawing/2014/main" id="{00000000-0008-0000-0C00-00006E000000}"/>
            </a:ext>
          </a:extLst>
        </xdr:cNvPr>
        <xdr:cNvCxnSpPr/>
      </xdr:nvCxnSpPr>
      <xdr:spPr>
        <a:xfrm rot="5400000">
          <a:off x="8191500" y="6753225"/>
          <a:ext cx="5334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485776</xdr:colOff>
      <xdr:row>15</xdr:row>
      <xdr:rowOff>104776</xdr:rowOff>
    </xdr:from>
    <xdr:to>
      <xdr:col>18</xdr:col>
      <xdr:colOff>552455</xdr:colOff>
      <xdr:row>18</xdr:row>
      <xdr:rowOff>57153</xdr:rowOff>
    </xdr:to>
    <xdr:cxnSp macro="">
      <xdr:nvCxnSpPr>
        <xdr:cNvPr id="113" name="Straight Connector 112">
          <a:extLst>
            <a:ext uri="{FF2B5EF4-FFF2-40B4-BE49-F238E27FC236}">
              <a16:creationId xmlns:a16="http://schemas.microsoft.com/office/drawing/2014/main" id="{00000000-0008-0000-0C00-000071000000}"/>
            </a:ext>
          </a:extLst>
        </xdr:cNvPr>
        <xdr:cNvCxnSpPr/>
      </xdr:nvCxnSpPr>
      <xdr:spPr>
        <a:xfrm rot="5400000">
          <a:off x="8763002" y="7191375"/>
          <a:ext cx="523877" cy="6667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457199</xdr:colOff>
      <xdr:row>2</xdr:row>
      <xdr:rowOff>38100</xdr:rowOff>
    </xdr:from>
    <xdr:to>
      <xdr:col>12</xdr:col>
      <xdr:colOff>1133474</xdr:colOff>
      <xdr:row>3</xdr:row>
      <xdr:rowOff>47625</xdr:rowOff>
    </xdr:to>
    <xdr:sp macro="" textlink="">
      <xdr:nvSpPr>
        <xdr:cNvPr id="114" name="Rectangle 113">
          <a:extLst>
            <a:ext uri="{FF2B5EF4-FFF2-40B4-BE49-F238E27FC236}">
              <a16:creationId xmlns:a16="http://schemas.microsoft.com/office/drawing/2014/main" id="{00000000-0008-0000-0C00-000072000000}"/>
            </a:ext>
          </a:extLst>
        </xdr:cNvPr>
        <xdr:cNvSpPr/>
      </xdr:nvSpPr>
      <xdr:spPr>
        <a:xfrm>
          <a:off x="4743449" y="4991100"/>
          <a:ext cx="676275" cy="200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800"/>
            <a:t>larangan</a:t>
          </a:r>
        </a:p>
      </xdr:txBody>
    </xdr:sp>
    <xdr:clientData/>
  </xdr:twoCellAnchor>
  <xdr:twoCellAnchor>
    <xdr:from>
      <xdr:col>7</xdr:col>
      <xdr:colOff>628650</xdr:colOff>
      <xdr:row>2</xdr:row>
      <xdr:rowOff>171449</xdr:rowOff>
    </xdr:from>
    <xdr:to>
      <xdr:col>11</xdr:col>
      <xdr:colOff>390525</xdr:colOff>
      <xdr:row>4</xdr:row>
      <xdr:rowOff>9524</xdr:rowOff>
    </xdr:to>
    <xdr:sp macro="" textlink="">
      <xdr:nvSpPr>
        <xdr:cNvPr id="115" name="Rectangle 114">
          <a:extLst>
            <a:ext uri="{FF2B5EF4-FFF2-40B4-BE49-F238E27FC236}">
              <a16:creationId xmlns:a16="http://schemas.microsoft.com/office/drawing/2014/main" id="{00000000-0008-0000-0C00-000073000000}"/>
            </a:ext>
          </a:extLst>
        </xdr:cNvPr>
        <xdr:cNvSpPr/>
      </xdr:nvSpPr>
      <xdr:spPr>
        <a:xfrm>
          <a:off x="3143250" y="5124449"/>
          <a:ext cx="923925" cy="219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SEMAYU</a:t>
          </a:r>
        </a:p>
      </xdr:txBody>
    </xdr:sp>
    <xdr:clientData/>
  </xdr:twoCellAnchor>
  <xdr:twoCellAnchor>
    <xdr:from>
      <xdr:col>12</xdr:col>
      <xdr:colOff>352426</xdr:colOff>
      <xdr:row>14</xdr:row>
      <xdr:rowOff>152400</xdr:rowOff>
    </xdr:from>
    <xdr:to>
      <xdr:col>12</xdr:col>
      <xdr:colOff>1257300</xdr:colOff>
      <xdr:row>15</xdr:row>
      <xdr:rowOff>142874</xdr:rowOff>
    </xdr:to>
    <xdr:sp macro="" textlink="">
      <xdr:nvSpPr>
        <xdr:cNvPr id="116" name="Rectangle 115">
          <a:extLst>
            <a:ext uri="{FF2B5EF4-FFF2-40B4-BE49-F238E27FC236}">
              <a16:creationId xmlns:a16="http://schemas.microsoft.com/office/drawing/2014/main" id="{00000000-0008-0000-0C00-000074000000}"/>
            </a:ext>
          </a:extLst>
        </xdr:cNvPr>
        <xdr:cNvSpPr/>
      </xdr:nvSpPr>
      <xdr:spPr>
        <a:xfrm>
          <a:off x="4638676" y="7391400"/>
          <a:ext cx="904874" cy="1809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800"/>
            <a:t>MANGLI</a:t>
          </a:r>
        </a:p>
      </xdr:txBody>
    </xdr:sp>
    <xdr:clientData/>
  </xdr:twoCellAnchor>
  <xdr:twoCellAnchor>
    <xdr:from>
      <xdr:col>6</xdr:col>
      <xdr:colOff>828674</xdr:colOff>
      <xdr:row>8</xdr:row>
      <xdr:rowOff>57150</xdr:rowOff>
    </xdr:from>
    <xdr:to>
      <xdr:col>7</xdr:col>
      <xdr:colOff>581025</xdr:colOff>
      <xdr:row>9</xdr:row>
      <xdr:rowOff>123825</xdr:rowOff>
    </xdr:to>
    <xdr:sp macro="" textlink="">
      <xdr:nvSpPr>
        <xdr:cNvPr id="117" name="Rectangle 116">
          <a:extLst>
            <a:ext uri="{FF2B5EF4-FFF2-40B4-BE49-F238E27FC236}">
              <a16:creationId xmlns:a16="http://schemas.microsoft.com/office/drawing/2014/main" id="{00000000-0008-0000-0C00-000075000000}"/>
            </a:ext>
          </a:extLst>
        </xdr:cNvPr>
        <xdr:cNvSpPr/>
      </xdr:nvSpPr>
      <xdr:spPr>
        <a:xfrm>
          <a:off x="2476499" y="6153150"/>
          <a:ext cx="619126" cy="257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600"/>
            <a:t>BUMIRESO</a:t>
          </a:r>
        </a:p>
      </xdr:txBody>
    </xdr:sp>
    <xdr:clientData/>
  </xdr:twoCellAnchor>
  <xdr:twoCellAnchor>
    <xdr:from>
      <xdr:col>12</xdr:col>
      <xdr:colOff>752476</xdr:colOff>
      <xdr:row>4</xdr:row>
      <xdr:rowOff>133350</xdr:rowOff>
    </xdr:from>
    <xdr:to>
      <xdr:col>12</xdr:col>
      <xdr:colOff>1200150</xdr:colOff>
      <xdr:row>5</xdr:row>
      <xdr:rowOff>133349</xdr:rowOff>
    </xdr:to>
    <xdr:sp macro="" textlink="">
      <xdr:nvSpPr>
        <xdr:cNvPr id="118" name="Rectangle 117">
          <a:extLst>
            <a:ext uri="{FF2B5EF4-FFF2-40B4-BE49-F238E27FC236}">
              <a16:creationId xmlns:a16="http://schemas.microsoft.com/office/drawing/2014/main" id="{00000000-0008-0000-0C00-000076000000}"/>
            </a:ext>
          </a:extLst>
        </xdr:cNvPr>
        <xdr:cNvSpPr/>
      </xdr:nvSpPr>
      <xdr:spPr>
        <a:xfrm>
          <a:off x="5038726" y="5467350"/>
          <a:ext cx="447674" cy="1904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600"/>
            <a:t>RUMAH </a:t>
          </a:r>
        </a:p>
      </xdr:txBody>
    </xdr:sp>
    <xdr:clientData/>
  </xdr:twoCellAnchor>
  <xdr:twoCellAnchor>
    <xdr:from>
      <xdr:col>8</xdr:col>
      <xdr:colOff>76199</xdr:colOff>
      <xdr:row>17</xdr:row>
      <xdr:rowOff>38100</xdr:rowOff>
    </xdr:from>
    <xdr:to>
      <xdr:col>11</xdr:col>
      <xdr:colOff>419100</xdr:colOff>
      <xdr:row>18</xdr:row>
      <xdr:rowOff>66675</xdr:rowOff>
    </xdr:to>
    <xdr:sp macro="" textlink="">
      <xdr:nvSpPr>
        <xdr:cNvPr id="119" name="Rectangle 118">
          <a:extLst>
            <a:ext uri="{FF2B5EF4-FFF2-40B4-BE49-F238E27FC236}">
              <a16:creationId xmlns:a16="http://schemas.microsoft.com/office/drawing/2014/main" id="{00000000-0008-0000-0C00-000077000000}"/>
            </a:ext>
          </a:extLst>
        </xdr:cNvPr>
        <xdr:cNvSpPr/>
      </xdr:nvSpPr>
      <xdr:spPr>
        <a:xfrm>
          <a:off x="3533774" y="7848600"/>
          <a:ext cx="561976" cy="219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600"/>
            <a:t>SUMBERAN</a:t>
          </a:r>
        </a:p>
      </xdr:txBody>
    </xdr:sp>
    <xdr:clientData/>
  </xdr:twoCellAnchor>
  <xdr:twoCellAnchor>
    <xdr:from>
      <xdr:col>16</xdr:col>
      <xdr:colOff>28575</xdr:colOff>
      <xdr:row>6</xdr:row>
      <xdr:rowOff>133350</xdr:rowOff>
    </xdr:from>
    <xdr:to>
      <xdr:col>17</xdr:col>
      <xdr:colOff>142875</xdr:colOff>
      <xdr:row>8</xdr:row>
      <xdr:rowOff>66675</xdr:rowOff>
    </xdr:to>
    <xdr:sp macro="" textlink="">
      <xdr:nvSpPr>
        <xdr:cNvPr id="120" name="Rectangle 119">
          <a:extLst>
            <a:ext uri="{FF2B5EF4-FFF2-40B4-BE49-F238E27FC236}">
              <a16:creationId xmlns:a16="http://schemas.microsoft.com/office/drawing/2014/main" id="{00000000-0008-0000-0C00-000078000000}"/>
            </a:ext>
          </a:extLst>
        </xdr:cNvPr>
        <xdr:cNvSpPr/>
      </xdr:nvSpPr>
      <xdr:spPr>
        <a:xfrm>
          <a:off x="7315200" y="5276850"/>
          <a:ext cx="723900" cy="314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600"/>
            <a:t>KALIKAJAR</a:t>
          </a:r>
        </a:p>
      </xdr:txBody>
    </xdr:sp>
    <xdr:clientData/>
  </xdr:twoCellAnchor>
  <xdr:twoCellAnchor>
    <xdr:from>
      <xdr:col>11</xdr:col>
      <xdr:colOff>152401</xdr:colOff>
      <xdr:row>10</xdr:row>
      <xdr:rowOff>66676</xdr:rowOff>
    </xdr:from>
    <xdr:to>
      <xdr:col>12</xdr:col>
      <xdr:colOff>276225</xdr:colOff>
      <xdr:row>14</xdr:row>
      <xdr:rowOff>0</xdr:rowOff>
    </xdr:to>
    <xdr:cxnSp macro="">
      <xdr:nvCxnSpPr>
        <xdr:cNvPr id="123" name="Straight Connector 122">
          <a:extLst>
            <a:ext uri="{FF2B5EF4-FFF2-40B4-BE49-F238E27FC236}">
              <a16:creationId xmlns:a16="http://schemas.microsoft.com/office/drawing/2014/main" id="{00000000-0008-0000-0C00-00007B000000}"/>
            </a:ext>
          </a:extLst>
        </xdr:cNvPr>
        <xdr:cNvCxnSpPr/>
      </xdr:nvCxnSpPr>
      <xdr:spPr>
        <a:xfrm>
          <a:off x="3829051" y="6543676"/>
          <a:ext cx="733424" cy="6953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95250</xdr:colOff>
      <xdr:row>14</xdr:row>
      <xdr:rowOff>67469</xdr:rowOff>
    </xdr:from>
    <xdr:to>
      <xdr:col>12</xdr:col>
      <xdr:colOff>324644</xdr:colOff>
      <xdr:row>18</xdr:row>
      <xdr:rowOff>9525</xdr:rowOff>
    </xdr:to>
    <xdr:cxnSp macro="">
      <xdr:nvCxnSpPr>
        <xdr:cNvPr id="127" name="Straight Connector 126">
          <a:extLst>
            <a:ext uri="{FF2B5EF4-FFF2-40B4-BE49-F238E27FC236}">
              <a16:creationId xmlns:a16="http://schemas.microsoft.com/office/drawing/2014/main" id="{00000000-0008-0000-0C00-00007F000000}"/>
            </a:ext>
          </a:extLst>
        </xdr:cNvPr>
        <xdr:cNvCxnSpPr/>
      </xdr:nvCxnSpPr>
      <xdr:spPr>
        <a:xfrm flipH="1">
          <a:off x="3771900" y="7306469"/>
          <a:ext cx="838994" cy="70405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95250</xdr:colOff>
      <xdr:row>11</xdr:row>
      <xdr:rowOff>66675</xdr:rowOff>
    </xdr:from>
    <xdr:to>
      <xdr:col>12</xdr:col>
      <xdr:colOff>514350</xdr:colOff>
      <xdr:row>12</xdr:row>
      <xdr:rowOff>133350</xdr:rowOff>
    </xdr:to>
    <xdr:sp macro="" textlink="">
      <xdr:nvSpPr>
        <xdr:cNvPr id="128" name="Rectangle 127">
          <a:extLst>
            <a:ext uri="{FF2B5EF4-FFF2-40B4-BE49-F238E27FC236}">
              <a16:creationId xmlns:a16="http://schemas.microsoft.com/office/drawing/2014/main" id="{00000000-0008-0000-0C00-000080000000}"/>
            </a:ext>
          </a:extLst>
        </xdr:cNvPr>
        <xdr:cNvSpPr/>
      </xdr:nvSpPr>
      <xdr:spPr>
        <a:xfrm>
          <a:off x="3771900" y="6734175"/>
          <a:ext cx="1028700" cy="257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700"/>
            <a:t>JEMBAYAN</a:t>
          </a:r>
        </a:p>
      </xdr:txBody>
    </xdr:sp>
    <xdr:clientData/>
  </xdr:twoCellAnchor>
  <xdr:twoCellAnchor>
    <xdr:from>
      <xdr:col>15</xdr:col>
      <xdr:colOff>457200</xdr:colOff>
      <xdr:row>15</xdr:row>
      <xdr:rowOff>9525</xdr:rowOff>
    </xdr:from>
    <xdr:to>
      <xdr:col>19</xdr:col>
      <xdr:colOff>85725</xdr:colOff>
      <xdr:row>15</xdr:row>
      <xdr:rowOff>9525</xdr:rowOff>
    </xdr:to>
    <xdr:cxnSp macro="">
      <xdr:nvCxnSpPr>
        <xdr:cNvPr id="92" name="Straight Connector 91">
          <a:extLst>
            <a:ext uri="{FF2B5EF4-FFF2-40B4-BE49-F238E27FC236}">
              <a16:creationId xmlns:a16="http://schemas.microsoft.com/office/drawing/2014/main" id="{00000000-0008-0000-0C00-00005C000000}"/>
            </a:ext>
          </a:extLst>
        </xdr:cNvPr>
        <xdr:cNvCxnSpPr/>
      </xdr:nvCxnSpPr>
      <xdr:spPr>
        <a:xfrm>
          <a:off x="8915400" y="2867025"/>
          <a:ext cx="20669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466725</xdr:colOff>
      <xdr:row>19</xdr:row>
      <xdr:rowOff>85725</xdr:rowOff>
    </xdr:from>
    <xdr:to>
      <xdr:col>17</xdr:col>
      <xdr:colOff>314325</xdr:colOff>
      <xdr:row>20</xdr:row>
      <xdr:rowOff>28575</xdr:rowOff>
    </xdr:to>
    <xdr:cxnSp macro="">
      <xdr:nvCxnSpPr>
        <xdr:cNvPr id="95" name="Straight Connector 94">
          <a:extLst>
            <a:ext uri="{FF2B5EF4-FFF2-40B4-BE49-F238E27FC236}">
              <a16:creationId xmlns:a16="http://schemas.microsoft.com/office/drawing/2014/main" id="{00000000-0008-0000-0C00-00005F000000}"/>
            </a:ext>
          </a:extLst>
        </xdr:cNvPr>
        <xdr:cNvCxnSpPr/>
      </xdr:nvCxnSpPr>
      <xdr:spPr>
        <a:xfrm>
          <a:off x="6534150" y="3705225"/>
          <a:ext cx="1676400" cy="1333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20</xdr:row>
      <xdr:rowOff>95250</xdr:rowOff>
    </xdr:from>
    <xdr:to>
      <xdr:col>17</xdr:col>
      <xdr:colOff>266700</xdr:colOff>
      <xdr:row>21</xdr:row>
      <xdr:rowOff>28575</xdr:rowOff>
    </xdr:to>
    <xdr:cxnSp macro="">
      <xdr:nvCxnSpPr>
        <xdr:cNvPr id="103" name="Straight Connector 102">
          <a:extLst>
            <a:ext uri="{FF2B5EF4-FFF2-40B4-BE49-F238E27FC236}">
              <a16:creationId xmlns:a16="http://schemas.microsoft.com/office/drawing/2014/main" id="{00000000-0008-0000-0C00-000067000000}"/>
            </a:ext>
          </a:extLst>
        </xdr:cNvPr>
        <xdr:cNvCxnSpPr/>
      </xdr:nvCxnSpPr>
      <xdr:spPr>
        <a:xfrm>
          <a:off x="6677025" y="3905250"/>
          <a:ext cx="1485900" cy="1238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9525</xdr:colOff>
      <xdr:row>2</xdr:row>
      <xdr:rowOff>123825</xdr:rowOff>
    </xdr:from>
    <xdr:to>
      <xdr:col>15</xdr:col>
      <xdr:colOff>9525</xdr:colOff>
      <xdr:row>8</xdr:row>
      <xdr:rowOff>142875</xdr:rowOff>
    </xdr:to>
    <xdr:cxnSp macro="">
      <xdr:nvCxnSpPr>
        <xdr:cNvPr id="107" name="Straight Connector 106">
          <a:extLst>
            <a:ext uri="{FF2B5EF4-FFF2-40B4-BE49-F238E27FC236}">
              <a16:creationId xmlns:a16="http://schemas.microsoft.com/office/drawing/2014/main" id="{00000000-0008-0000-0C00-00006B000000}"/>
            </a:ext>
          </a:extLst>
        </xdr:cNvPr>
        <xdr:cNvCxnSpPr/>
      </xdr:nvCxnSpPr>
      <xdr:spPr>
        <a:xfrm>
          <a:off x="6686550" y="504825"/>
          <a:ext cx="0" cy="1162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142875</xdr:colOff>
      <xdr:row>2</xdr:row>
      <xdr:rowOff>76200</xdr:rowOff>
    </xdr:from>
    <xdr:to>
      <xdr:col>15</xdr:col>
      <xdr:colOff>142875</xdr:colOff>
      <xdr:row>8</xdr:row>
      <xdr:rowOff>180975</xdr:rowOff>
    </xdr:to>
    <xdr:cxnSp macro="">
      <xdr:nvCxnSpPr>
        <xdr:cNvPr id="111" name="Straight Connector 110">
          <a:extLst>
            <a:ext uri="{FF2B5EF4-FFF2-40B4-BE49-F238E27FC236}">
              <a16:creationId xmlns:a16="http://schemas.microsoft.com/office/drawing/2014/main" id="{00000000-0008-0000-0C00-00006F000000}"/>
            </a:ext>
          </a:extLst>
        </xdr:cNvPr>
        <xdr:cNvCxnSpPr/>
      </xdr:nvCxnSpPr>
      <xdr:spPr>
        <a:xfrm>
          <a:off x="6819900" y="457200"/>
          <a:ext cx="0" cy="12477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504825</xdr:colOff>
      <xdr:row>2</xdr:row>
      <xdr:rowOff>104775</xdr:rowOff>
    </xdr:from>
    <xdr:to>
      <xdr:col>14</xdr:col>
      <xdr:colOff>514350</xdr:colOff>
      <xdr:row>9</xdr:row>
      <xdr:rowOff>9525</xdr:rowOff>
    </xdr:to>
    <xdr:cxnSp macro="">
      <xdr:nvCxnSpPr>
        <xdr:cNvPr id="121" name="Straight Connector 120">
          <a:extLst>
            <a:ext uri="{FF2B5EF4-FFF2-40B4-BE49-F238E27FC236}">
              <a16:creationId xmlns:a16="http://schemas.microsoft.com/office/drawing/2014/main" id="{00000000-0008-0000-0C00-000079000000}"/>
            </a:ext>
          </a:extLst>
        </xdr:cNvPr>
        <xdr:cNvCxnSpPr/>
      </xdr:nvCxnSpPr>
      <xdr:spPr>
        <a:xfrm flipH="1">
          <a:off x="6572250" y="485775"/>
          <a:ext cx="9525" cy="1238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285750</xdr:colOff>
      <xdr:row>0</xdr:row>
      <xdr:rowOff>133350</xdr:rowOff>
    </xdr:from>
    <xdr:to>
      <xdr:col>18</xdr:col>
      <xdr:colOff>533400</xdr:colOff>
      <xdr:row>2</xdr:row>
      <xdr:rowOff>9525</xdr:rowOff>
    </xdr:to>
    <xdr:sp macro="" textlink="">
      <xdr:nvSpPr>
        <xdr:cNvPr id="122" name="Rectangle 121">
          <a:extLst>
            <a:ext uri="{FF2B5EF4-FFF2-40B4-BE49-F238E27FC236}">
              <a16:creationId xmlns:a16="http://schemas.microsoft.com/office/drawing/2014/main" id="{00000000-0008-0000-0C00-00007A000000}"/>
            </a:ext>
          </a:extLst>
        </xdr:cNvPr>
        <xdr:cNvSpPr/>
      </xdr:nvSpPr>
      <xdr:spPr>
        <a:xfrm>
          <a:off x="8181975" y="133350"/>
          <a:ext cx="857250" cy="257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428625</xdr:colOff>
      <xdr:row>2</xdr:row>
      <xdr:rowOff>114300</xdr:rowOff>
    </xdr:from>
    <xdr:to>
      <xdr:col>19</xdr:col>
      <xdr:colOff>104775</xdr:colOff>
      <xdr:row>4</xdr:row>
      <xdr:rowOff>0</xdr:rowOff>
    </xdr:to>
    <xdr:sp macro="" textlink="">
      <xdr:nvSpPr>
        <xdr:cNvPr id="124" name="Rectangle 123">
          <a:extLst>
            <a:ext uri="{FF2B5EF4-FFF2-40B4-BE49-F238E27FC236}">
              <a16:creationId xmlns:a16="http://schemas.microsoft.com/office/drawing/2014/main" id="{00000000-0008-0000-0C00-00007C000000}"/>
            </a:ext>
          </a:extLst>
        </xdr:cNvPr>
        <xdr:cNvSpPr/>
      </xdr:nvSpPr>
      <xdr:spPr>
        <a:xfrm>
          <a:off x="8324850" y="495300"/>
          <a:ext cx="895350" cy="266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19</xdr:col>
      <xdr:colOff>257175</xdr:colOff>
      <xdr:row>1</xdr:row>
      <xdr:rowOff>0</xdr:rowOff>
    </xdr:from>
    <xdr:to>
      <xdr:col>20</xdr:col>
      <xdr:colOff>561975</xdr:colOff>
      <xdr:row>2</xdr:row>
      <xdr:rowOff>123825</xdr:rowOff>
    </xdr:to>
    <xdr:sp macro="" textlink="">
      <xdr:nvSpPr>
        <xdr:cNvPr id="125" name="Rectangle 124">
          <a:extLst>
            <a:ext uri="{FF2B5EF4-FFF2-40B4-BE49-F238E27FC236}">
              <a16:creationId xmlns:a16="http://schemas.microsoft.com/office/drawing/2014/main" id="{00000000-0008-0000-0C00-00007D000000}"/>
            </a:ext>
          </a:extLst>
        </xdr:cNvPr>
        <xdr:cNvSpPr/>
      </xdr:nvSpPr>
      <xdr:spPr>
        <a:xfrm>
          <a:off x="9372600" y="190500"/>
          <a:ext cx="914400" cy="314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14</xdr:col>
      <xdr:colOff>0</xdr:colOff>
      <xdr:row>15</xdr:row>
      <xdr:rowOff>0</xdr:rowOff>
    </xdr:from>
    <xdr:to>
      <xdr:col>15</xdr:col>
      <xdr:colOff>247650</xdr:colOff>
      <xdr:row>23</xdr:row>
      <xdr:rowOff>180975</xdr:rowOff>
    </xdr:to>
    <xdr:sp macro="" textlink="">
      <xdr:nvSpPr>
        <xdr:cNvPr id="129" name="Freeform 128">
          <a:extLst>
            <a:ext uri="{FF2B5EF4-FFF2-40B4-BE49-F238E27FC236}">
              <a16:creationId xmlns:a16="http://schemas.microsoft.com/office/drawing/2014/main" id="{00000000-0008-0000-0C00-000081000000}"/>
            </a:ext>
          </a:extLst>
        </xdr:cNvPr>
        <xdr:cNvSpPr/>
      </xdr:nvSpPr>
      <xdr:spPr>
        <a:xfrm>
          <a:off x="7848600" y="2857500"/>
          <a:ext cx="857250" cy="1704975"/>
        </a:xfrm>
        <a:custGeom>
          <a:avLst/>
          <a:gdLst>
            <a:gd name="connsiteX0" fmla="*/ 1309687 w 1309687"/>
            <a:gd name="connsiteY0" fmla="*/ 1914525 h 1914525"/>
            <a:gd name="connsiteX1" fmla="*/ 233362 w 1309687"/>
            <a:gd name="connsiteY1" fmla="*/ 1343025 h 1914525"/>
            <a:gd name="connsiteX2" fmla="*/ 128587 w 1309687"/>
            <a:gd name="connsiteY2" fmla="*/ 885825 h 1914525"/>
            <a:gd name="connsiteX3" fmla="*/ 1004887 w 1309687"/>
            <a:gd name="connsiteY3" fmla="*/ 771525 h 1914525"/>
            <a:gd name="connsiteX4" fmla="*/ 995362 w 1309687"/>
            <a:gd name="connsiteY4" fmla="*/ 0 h 1914525"/>
            <a:gd name="connsiteX5" fmla="*/ 995362 w 1309687"/>
            <a:gd name="connsiteY5" fmla="*/ 0 h 19145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309687" h="1914525">
              <a:moveTo>
                <a:pt x="1309687" y="1914525"/>
              </a:moveTo>
              <a:cubicBezTo>
                <a:pt x="869949" y="1714500"/>
                <a:pt x="430212" y="1514475"/>
                <a:pt x="233362" y="1343025"/>
              </a:cubicBezTo>
              <a:cubicBezTo>
                <a:pt x="36512" y="1171575"/>
                <a:pt x="0" y="981075"/>
                <a:pt x="128587" y="885825"/>
              </a:cubicBezTo>
              <a:cubicBezTo>
                <a:pt x="257175" y="790575"/>
                <a:pt x="860425" y="919162"/>
                <a:pt x="1004887" y="771525"/>
              </a:cubicBezTo>
              <a:cubicBezTo>
                <a:pt x="1149349" y="623888"/>
                <a:pt x="995362" y="0"/>
                <a:pt x="995362" y="0"/>
              </a:cubicBezTo>
              <a:lnTo>
                <a:pt x="995362" y="0"/>
              </a:lnTo>
            </a:path>
          </a:pathLst>
        </a:cu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0</xdr:col>
      <xdr:colOff>200024</xdr:colOff>
      <xdr:row>26</xdr:row>
      <xdr:rowOff>28574</xdr:rowOff>
    </xdr:from>
    <xdr:to>
      <xdr:col>13</xdr:col>
      <xdr:colOff>1581150</xdr:colOff>
      <xdr:row>48</xdr:row>
      <xdr:rowOff>85725</xdr:rowOff>
    </xdr:to>
    <xdr:sp macro="" textlink="">
      <xdr:nvSpPr>
        <xdr:cNvPr id="99" name="TextBox 98">
          <a:extLst>
            <a:ext uri="{FF2B5EF4-FFF2-40B4-BE49-F238E27FC236}">
              <a16:creationId xmlns:a16="http://schemas.microsoft.com/office/drawing/2014/main" id="{00000000-0008-0000-0C00-000063000000}"/>
            </a:ext>
          </a:extLst>
        </xdr:cNvPr>
        <xdr:cNvSpPr txBox="1"/>
      </xdr:nvSpPr>
      <xdr:spPr>
        <a:xfrm>
          <a:off x="200024" y="409574"/>
          <a:ext cx="7448551" cy="4248151"/>
        </a:xfrm>
        <a:prstGeom prst="rect">
          <a:avLst/>
        </a:prstGeom>
        <a:solidFill>
          <a:schemeClr val="bg1"/>
        </a:solidFill>
        <a:ln/>
      </xdr:spPr>
      <xdr:style>
        <a:lnRef idx="2">
          <a:schemeClr val="accent6"/>
        </a:lnRef>
        <a:fillRef idx="1">
          <a:schemeClr val="lt1"/>
        </a:fillRef>
        <a:effectRef idx="0">
          <a:schemeClr val="accent6"/>
        </a:effectRef>
        <a:fontRef idx="minor">
          <a:schemeClr val="dk1"/>
        </a:fontRef>
      </xdr:style>
      <xdr:txBody>
        <a:bodyPr wrap="square" rtlCol="0" anchor="t"/>
        <a:lstStyle/>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a:p>
          <a:endParaRPr lang="en-US" sz="4000"/>
        </a:p>
      </xdr:txBody>
    </xdr:sp>
    <xdr:clientData/>
  </xdr:twoCellAnchor>
  <xdr:twoCellAnchor>
    <xdr:from>
      <xdr:col>10</xdr:col>
      <xdr:colOff>76200</xdr:colOff>
      <xdr:row>32</xdr:row>
      <xdr:rowOff>123826</xdr:rowOff>
    </xdr:from>
    <xdr:to>
      <xdr:col>10</xdr:col>
      <xdr:colOff>171450</xdr:colOff>
      <xdr:row>45</xdr:row>
      <xdr:rowOff>0</xdr:rowOff>
    </xdr:to>
    <xdr:cxnSp macro="">
      <xdr:nvCxnSpPr>
        <xdr:cNvPr id="105" name="Straight Connector 104">
          <a:extLst>
            <a:ext uri="{FF2B5EF4-FFF2-40B4-BE49-F238E27FC236}">
              <a16:creationId xmlns:a16="http://schemas.microsoft.com/office/drawing/2014/main" id="{00000000-0008-0000-0C00-000069000000}"/>
            </a:ext>
          </a:extLst>
        </xdr:cNvPr>
        <xdr:cNvCxnSpPr/>
      </xdr:nvCxnSpPr>
      <xdr:spPr>
        <a:xfrm rot="5400000" flipH="1" flipV="1">
          <a:off x="2500313" y="2824163"/>
          <a:ext cx="235267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35</xdr:row>
      <xdr:rowOff>123825</xdr:rowOff>
    </xdr:from>
    <xdr:to>
      <xdr:col>12</xdr:col>
      <xdr:colOff>219075</xdr:colOff>
      <xdr:row>35</xdr:row>
      <xdr:rowOff>171450</xdr:rowOff>
    </xdr:to>
    <xdr:cxnSp macro="">
      <xdr:nvCxnSpPr>
        <xdr:cNvPr id="109" name="Straight Connector 108">
          <a:extLst>
            <a:ext uri="{FF2B5EF4-FFF2-40B4-BE49-F238E27FC236}">
              <a16:creationId xmlns:a16="http://schemas.microsoft.com/office/drawing/2014/main" id="{00000000-0008-0000-0C00-00006D000000}"/>
            </a:ext>
          </a:extLst>
        </xdr:cNvPr>
        <xdr:cNvCxnSpPr/>
      </xdr:nvCxnSpPr>
      <xdr:spPr>
        <a:xfrm flipH="1" flipV="1">
          <a:off x="1276350" y="2219325"/>
          <a:ext cx="3228975" cy="47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209550</xdr:colOff>
      <xdr:row>29</xdr:row>
      <xdr:rowOff>38100</xdr:rowOff>
    </xdr:from>
    <xdr:to>
      <xdr:col>12</xdr:col>
      <xdr:colOff>209550</xdr:colOff>
      <xdr:row>35</xdr:row>
      <xdr:rowOff>171450</xdr:rowOff>
    </xdr:to>
    <xdr:cxnSp macro="">
      <xdr:nvCxnSpPr>
        <xdr:cNvPr id="112" name="Straight Connector 111">
          <a:extLst>
            <a:ext uri="{FF2B5EF4-FFF2-40B4-BE49-F238E27FC236}">
              <a16:creationId xmlns:a16="http://schemas.microsoft.com/office/drawing/2014/main" id="{00000000-0008-0000-0C00-000070000000}"/>
            </a:ext>
          </a:extLst>
        </xdr:cNvPr>
        <xdr:cNvCxnSpPr/>
      </xdr:nvCxnSpPr>
      <xdr:spPr>
        <a:xfrm flipV="1">
          <a:off x="4495800" y="990600"/>
          <a:ext cx="0" cy="12763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38100</xdr:colOff>
      <xdr:row>37</xdr:row>
      <xdr:rowOff>85725</xdr:rowOff>
    </xdr:from>
    <xdr:to>
      <xdr:col>7</xdr:col>
      <xdr:colOff>295276</xdr:colOff>
      <xdr:row>39</xdr:row>
      <xdr:rowOff>23158</xdr:rowOff>
    </xdr:to>
    <xdr:pic>
      <xdr:nvPicPr>
        <xdr:cNvPr id="130" name="Picture 1">
          <a:extLst>
            <a:ext uri="{FF2B5EF4-FFF2-40B4-BE49-F238E27FC236}">
              <a16:creationId xmlns:a16="http://schemas.microsoft.com/office/drawing/2014/main" id="{00000000-0008-0000-0C00-00008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552700" y="2562225"/>
          <a:ext cx="257176" cy="318433"/>
        </a:xfrm>
        <a:prstGeom prst="rect">
          <a:avLst/>
        </a:prstGeom>
        <a:noFill/>
        <a:ln w="9525">
          <a:noFill/>
          <a:miter lim="800000"/>
          <a:headEnd/>
          <a:tailEnd/>
        </a:ln>
      </xdr:spPr>
    </xdr:pic>
    <xdr:clientData/>
  </xdr:twoCellAnchor>
  <xdr:twoCellAnchor>
    <xdr:from>
      <xdr:col>6</xdr:col>
      <xdr:colOff>657224</xdr:colOff>
      <xdr:row>39</xdr:row>
      <xdr:rowOff>76200</xdr:rowOff>
    </xdr:from>
    <xdr:to>
      <xdr:col>7</xdr:col>
      <xdr:colOff>476250</xdr:colOff>
      <xdr:row>41</xdr:row>
      <xdr:rowOff>0</xdr:rowOff>
    </xdr:to>
    <xdr:sp macro="" textlink="">
      <xdr:nvSpPr>
        <xdr:cNvPr id="131" name="TextBox 130">
          <a:extLst>
            <a:ext uri="{FF2B5EF4-FFF2-40B4-BE49-F238E27FC236}">
              <a16:creationId xmlns:a16="http://schemas.microsoft.com/office/drawing/2014/main" id="{00000000-0008-0000-0C00-000083000000}"/>
            </a:ext>
          </a:extLst>
        </xdr:cNvPr>
        <xdr:cNvSpPr txBox="1"/>
      </xdr:nvSpPr>
      <xdr:spPr>
        <a:xfrm>
          <a:off x="2305049" y="2933700"/>
          <a:ext cx="685801"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900" baseline="0"/>
            <a:t>RUMAH DEBITUR</a:t>
          </a:r>
          <a:endParaRPr lang="id-ID" sz="900"/>
        </a:p>
      </xdr:txBody>
    </xdr:sp>
    <xdr:clientData/>
  </xdr:twoCellAnchor>
  <xdr:twoCellAnchor>
    <xdr:from>
      <xdr:col>12</xdr:col>
      <xdr:colOff>361950</xdr:colOff>
      <xdr:row>29</xdr:row>
      <xdr:rowOff>19050</xdr:rowOff>
    </xdr:from>
    <xdr:to>
      <xdr:col>12</xdr:col>
      <xdr:colOff>371475</xdr:colOff>
      <xdr:row>45</xdr:row>
      <xdr:rowOff>57150</xdr:rowOff>
    </xdr:to>
    <xdr:cxnSp macro="">
      <xdr:nvCxnSpPr>
        <xdr:cNvPr id="132" name="Straight Connector 131">
          <a:extLst>
            <a:ext uri="{FF2B5EF4-FFF2-40B4-BE49-F238E27FC236}">
              <a16:creationId xmlns:a16="http://schemas.microsoft.com/office/drawing/2014/main" id="{00000000-0008-0000-0C00-000084000000}"/>
            </a:ext>
          </a:extLst>
        </xdr:cNvPr>
        <xdr:cNvCxnSpPr/>
      </xdr:nvCxnSpPr>
      <xdr:spPr>
        <a:xfrm flipH="1" flipV="1">
          <a:off x="4648200" y="971550"/>
          <a:ext cx="9525" cy="3086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29</xdr:row>
      <xdr:rowOff>190499</xdr:rowOff>
    </xdr:from>
    <xdr:to>
      <xdr:col>12</xdr:col>
      <xdr:colOff>171450</xdr:colOff>
      <xdr:row>35</xdr:row>
      <xdr:rowOff>66675</xdr:rowOff>
    </xdr:to>
    <xdr:sp macro="" textlink="">
      <xdr:nvSpPr>
        <xdr:cNvPr id="133" name="Rectangle 132">
          <a:extLst>
            <a:ext uri="{FF2B5EF4-FFF2-40B4-BE49-F238E27FC236}">
              <a16:creationId xmlns:a16="http://schemas.microsoft.com/office/drawing/2014/main" id="{00000000-0008-0000-0C00-000085000000}"/>
            </a:ext>
          </a:extLst>
        </xdr:cNvPr>
        <xdr:cNvSpPr/>
      </xdr:nvSpPr>
      <xdr:spPr>
        <a:xfrm>
          <a:off x="3590925" y="1142999"/>
          <a:ext cx="866775" cy="10191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LAPANGAN</a:t>
          </a:r>
        </a:p>
      </xdr:txBody>
    </xdr:sp>
    <xdr:clientData/>
  </xdr:twoCellAnchor>
  <xdr:twoCellAnchor>
    <xdr:from>
      <xdr:col>5</xdr:col>
      <xdr:colOff>28575</xdr:colOff>
      <xdr:row>36</xdr:row>
      <xdr:rowOff>123825</xdr:rowOff>
    </xdr:from>
    <xdr:to>
      <xdr:col>12</xdr:col>
      <xdr:colOff>228600</xdr:colOff>
      <xdr:row>36</xdr:row>
      <xdr:rowOff>152400</xdr:rowOff>
    </xdr:to>
    <xdr:cxnSp macro="">
      <xdr:nvCxnSpPr>
        <xdr:cNvPr id="134" name="Straight Connector 133">
          <a:extLst>
            <a:ext uri="{FF2B5EF4-FFF2-40B4-BE49-F238E27FC236}">
              <a16:creationId xmlns:a16="http://schemas.microsoft.com/office/drawing/2014/main" id="{00000000-0008-0000-0C00-000086000000}"/>
            </a:ext>
          </a:extLst>
        </xdr:cNvPr>
        <xdr:cNvCxnSpPr/>
      </xdr:nvCxnSpPr>
      <xdr:spPr>
        <a:xfrm>
          <a:off x="1285875" y="2409825"/>
          <a:ext cx="3228975" cy="285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200025</xdr:colOff>
      <xdr:row>36</xdr:row>
      <xdr:rowOff>142875</xdr:rowOff>
    </xdr:from>
    <xdr:to>
      <xdr:col>12</xdr:col>
      <xdr:colOff>209550</xdr:colOff>
      <xdr:row>45</xdr:row>
      <xdr:rowOff>57150</xdr:rowOff>
    </xdr:to>
    <xdr:cxnSp macro="">
      <xdr:nvCxnSpPr>
        <xdr:cNvPr id="135" name="Straight Connector 134">
          <a:extLst>
            <a:ext uri="{FF2B5EF4-FFF2-40B4-BE49-F238E27FC236}">
              <a16:creationId xmlns:a16="http://schemas.microsoft.com/office/drawing/2014/main" id="{00000000-0008-0000-0C00-000087000000}"/>
            </a:ext>
          </a:extLst>
        </xdr:cNvPr>
        <xdr:cNvCxnSpPr/>
      </xdr:nvCxnSpPr>
      <xdr:spPr>
        <a:xfrm flipV="1">
          <a:off x="4486275" y="2428875"/>
          <a:ext cx="9525" cy="16287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542924</xdr:colOff>
      <xdr:row>28</xdr:row>
      <xdr:rowOff>123825</xdr:rowOff>
    </xdr:from>
    <xdr:to>
      <xdr:col>12</xdr:col>
      <xdr:colOff>1228725</xdr:colOff>
      <xdr:row>30</xdr:row>
      <xdr:rowOff>47625</xdr:rowOff>
    </xdr:to>
    <xdr:sp macro="" textlink="">
      <xdr:nvSpPr>
        <xdr:cNvPr id="141" name="TextBox 140">
          <a:extLst>
            <a:ext uri="{FF2B5EF4-FFF2-40B4-BE49-F238E27FC236}">
              <a16:creationId xmlns:a16="http://schemas.microsoft.com/office/drawing/2014/main" id="{00000000-0008-0000-0C00-00008D000000}"/>
            </a:ext>
          </a:extLst>
        </xdr:cNvPr>
        <xdr:cNvSpPr txBox="1"/>
      </xdr:nvSpPr>
      <xdr:spPr>
        <a:xfrm>
          <a:off x="4829174" y="885825"/>
          <a:ext cx="685801"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900" baseline="0"/>
            <a:t>ARAH MANGGIS</a:t>
          </a:r>
          <a:endParaRPr lang="id-ID" sz="900"/>
        </a:p>
      </xdr:txBody>
    </xdr:sp>
    <xdr:clientData/>
  </xdr:twoCellAnchor>
  <xdr:twoCellAnchor>
    <xdr:from>
      <xdr:col>12</xdr:col>
      <xdr:colOff>542924</xdr:colOff>
      <xdr:row>44</xdr:row>
      <xdr:rowOff>0</xdr:rowOff>
    </xdr:from>
    <xdr:to>
      <xdr:col>12</xdr:col>
      <xdr:colOff>1228725</xdr:colOff>
      <xdr:row>45</xdr:row>
      <xdr:rowOff>114300</xdr:rowOff>
    </xdr:to>
    <xdr:sp macro="" textlink="">
      <xdr:nvSpPr>
        <xdr:cNvPr id="142" name="TextBox 141">
          <a:extLst>
            <a:ext uri="{FF2B5EF4-FFF2-40B4-BE49-F238E27FC236}">
              <a16:creationId xmlns:a16="http://schemas.microsoft.com/office/drawing/2014/main" id="{00000000-0008-0000-0C00-00008E000000}"/>
            </a:ext>
          </a:extLst>
        </xdr:cNvPr>
        <xdr:cNvSpPr txBox="1"/>
      </xdr:nvSpPr>
      <xdr:spPr>
        <a:xfrm>
          <a:off x="4829174" y="3810000"/>
          <a:ext cx="685801"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900" baseline="0"/>
            <a:t>ARAH LEKSONO</a:t>
          </a:r>
          <a:endParaRPr lang="id-ID" sz="900"/>
        </a:p>
      </xdr:txBody>
    </xdr:sp>
    <xdr:clientData/>
  </xdr:twoCellAnchor>
  <xdr:twoCellAnchor>
    <xdr:from>
      <xdr:col>6</xdr:col>
      <xdr:colOff>533399</xdr:colOff>
      <xdr:row>28</xdr:row>
      <xdr:rowOff>28575</xdr:rowOff>
    </xdr:from>
    <xdr:to>
      <xdr:col>7</xdr:col>
      <xdr:colOff>352425</xdr:colOff>
      <xdr:row>29</xdr:row>
      <xdr:rowOff>142875</xdr:rowOff>
    </xdr:to>
    <xdr:sp macro="" textlink="">
      <xdr:nvSpPr>
        <xdr:cNvPr id="143" name="TextBox 142">
          <a:extLst>
            <a:ext uri="{FF2B5EF4-FFF2-40B4-BE49-F238E27FC236}">
              <a16:creationId xmlns:a16="http://schemas.microsoft.com/office/drawing/2014/main" id="{00000000-0008-0000-0C00-00008F000000}"/>
            </a:ext>
          </a:extLst>
        </xdr:cNvPr>
        <xdr:cNvSpPr txBox="1"/>
      </xdr:nvSpPr>
      <xdr:spPr>
        <a:xfrm>
          <a:off x="2181224" y="790575"/>
          <a:ext cx="685801" cy="304800"/>
        </a:xfrm>
        <a:prstGeom prst="rect">
          <a:avLst/>
        </a:prstGeom>
        <a:ln/>
      </xdr:spPr>
      <xdr:style>
        <a:lnRef idx="2">
          <a:schemeClr val="accent5"/>
        </a:lnRef>
        <a:fillRef idx="1">
          <a:schemeClr val="lt1"/>
        </a:fillRef>
        <a:effectRef idx="0">
          <a:schemeClr val="accent5"/>
        </a:effectRef>
        <a:fontRef idx="minor">
          <a:schemeClr val="dk1"/>
        </a:fontRef>
      </xdr:style>
      <xdr:txBody>
        <a:bodyPr wrap="square" rtlCol="0" anchor="ctr"/>
        <a:lstStyle/>
        <a:p>
          <a:pPr algn="ctr"/>
          <a:r>
            <a:rPr lang="en-US" sz="900" baseline="0"/>
            <a:t>TANAH JAMINAN</a:t>
          </a:r>
          <a:endParaRPr lang="id-ID" sz="900"/>
        </a:p>
      </xdr:txBody>
    </xdr:sp>
    <xdr:clientData/>
  </xdr:twoCellAnchor>
  <xdr:twoCellAnchor>
    <xdr:from>
      <xdr:col>12</xdr:col>
      <xdr:colOff>1095375</xdr:colOff>
      <xdr:row>33</xdr:row>
      <xdr:rowOff>142876</xdr:rowOff>
    </xdr:from>
    <xdr:to>
      <xdr:col>12</xdr:col>
      <xdr:colOff>1495425</xdr:colOff>
      <xdr:row>33</xdr:row>
      <xdr:rowOff>152400</xdr:rowOff>
    </xdr:to>
    <xdr:cxnSp macro="">
      <xdr:nvCxnSpPr>
        <xdr:cNvPr id="144" name="Straight Arrow Connector 143">
          <a:extLst>
            <a:ext uri="{FF2B5EF4-FFF2-40B4-BE49-F238E27FC236}">
              <a16:creationId xmlns:a16="http://schemas.microsoft.com/office/drawing/2014/main" id="{33E388AD-7356-4C53-9572-BC23F81B5062}"/>
            </a:ext>
          </a:extLst>
        </xdr:cNvPr>
        <xdr:cNvCxnSpPr/>
      </xdr:nvCxnSpPr>
      <xdr:spPr>
        <a:xfrm flipH="1" flipV="1">
          <a:off x="5381625" y="6429376"/>
          <a:ext cx="400050" cy="9524"/>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1647825</xdr:colOff>
      <xdr:row>34</xdr:row>
      <xdr:rowOff>114300</xdr:rowOff>
    </xdr:from>
    <xdr:to>
      <xdr:col>13</xdr:col>
      <xdr:colOff>276225</xdr:colOff>
      <xdr:row>34</xdr:row>
      <xdr:rowOff>114300</xdr:rowOff>
    </xdr:to>
    <xdr:cxnSp macro="">
      <xdr:nvCxnSpPr>
        <xdr:cNvPr id="145" name="Straight Arrow Connector 144">
          <a:extLst>
            <a:ext uri="{FF2B5EF4-FFF2-40B4-BE49-F238E27FC236}">
              <a16:creationId xmlns:a16="http://schemas.microsoft.com/office/drawing/2014/main" id="{28377C0F-08D7-47A6-9943-0A2866092C62}"/>
            </a:ext>
          </a:extLst>
        </xdr:cNvPr>
        <xdr:cNvCxnSpPr/>
      </xdr:nvCxnSpPr>
      <xdr:spPr>
        <a:xfrm>
          <a:off x="5934075" y="6591300"/>
          <a:ext cx="409575" cy="0"/>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13</xdr:col>
      <xdr:colOff>19050</xdr:colOff>
      <xdr:row>35</xdr:row>
      <xdr:rowOff>76200</xdr:rowOff>
    </xdr:from>
    <xdr:to>
      <xdr:col>13</xdr:col>
      <xdr:colOff>19050</xdr:colOff>
      <xdr:row>37</xdr:row>
      <xdr:rowOff>57150</xdr:rowOff>
    </xdr:to>
    <xdr:cxnSp macro="">
      <xdr:nvCxnSpPr>
        <xdr:cNvPr id="146" name="Straight Arrow Connector 145">
          <a:extLst>
            <a:ext uri="{FF2B5EF4-FFF2-40B4-BE49-F238E27FC236}">
              <a16:creationId xmlns:a16="http://schemas.microsoft.com/office/drawing/2014/main" id="{7AE51B5E-7C3B-40AA-95A8-87AB68B4EAD4}"/>
            </a:ext>
          </a:extLst>
        </xdr:cNvPr>
        <xdr:cNvCxnSpPr/>
      </xdr:nvCxnSpPr>
      <xdr:spPr>
        <a:xfrm>
          <a:off x="6086475" y="6743700"/>
          <a:ext cx="0" cy="361950"/>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13</xdr:col>
      <xdr:colOff>171450</xdr:colOff>
      <xdr:row>38</xdr:row>
      <xdr:rowOff>19050</xdr:rowOff>
    </xdr:from>
    <xdr:to>
      <xdr:col>13</xdr:col>
      <xdr:colOff>180975</xdr:colOff>
      <xdr:row>40</xdr:row>
      <xdr:rowOff>47625</xdr:rowOff>
    </xdr:to>
    <xdr:cxnSp macro="">
      <xdr:nvCxnSpPr>
        <xdr:cNvPr id="147" name="Straight Arrow Connector 146">
          <a:extLst>
            <a:ext uri="{FF2B5EF4-FFF2-40B4-BE49-F238E27FC236}">
              <a16:creationId xmlns:a16="http://schemas.microsoft.com/office/drawing/2014/main" id="{EF1A39D9-90B1-4CCF-8187-4E04EA7D39CA}"/>
            </a:ext>
          </a:extLst>
        </xdr:cNvPr>
        <xdr:cNvCxnSpPr/>
      </xdr:nvCxnSpPr>
      <xdr:spPr>
        <a:xfrm flipH="1" flipV="1">
          <a:off x="6238875" y="7258050"/>
          <a:ext cx="9525" cy="409575"/>
        </a:xfrm>
        <a:prstGeom prst="straightConnector1">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28</xdr:row>
      <xdr:rowOff>9525</xdr:rowOff>
    </xdr:from>
    <xdr:to>
      <xdr:col>10</xdr:col>
      <xdr:colOff>552449</xdr:colOff>
      <xdr:row>33</xdr:row>
      <xdr:rowOff>9525</xdr:rowOff>
    </xdr:to>
    <xdr:sp macro="" textlink="">
      <xdr:nvSpPr>
        <xdr:cNvPr id="2" name="TextBox 1">
          <a:extLst>
            <a:ext uri="{FF2B5EF4-FFF2-40B4-BE49-F238E27FC236}">
              <a16:creationId xmlns:a16="http://schemas.microsoft.com/office/drawing/2014/main" id="{00000000-0008-0000-1000-000002000000}"/>
            </a:ext>
          </a:extLst>
        </xdr:cNvPr>
        <xdr:cNvSpPr txBox="1"/>
      </xdr:nvSpPr>
      <xdr:spPr>
        <a:xfrm>
          <a:off x="0" y="5221605"/>
          <a:ext cx="7124699"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solidFill>
                <a:schemeClr val="dk1"/>
              </a:solidFill>
              <a:latin typeface="+mn-lt"/>
              <a:ea typeface="+mn-ea"/>
              <a:cs typeface="+mn-cs"/>
            </a:rPr>
            <a:t>Bahwa tujuan pembukaan rekening atau seluruh simpanan bukan berasal</a:t>
          </a:r>
          <a:r>
            <a:rPr lang="en-US" sz="1100" baseline="0">
              <a:solidFill>
                <a:schemeClr val="dk1"/>
              </a:solidFill>
              <a:latin typeface="+mn-lt"/>
              <a:ea typeface="+mn-ea"/>
              <a:cs typeface="+mn-cs"/>
            </a:rPr>
            <a:t> dari tindak pidana pencucian uang. Apabila dikemudian hari ternyata terbukti bahwa dana simpanan hasil dari tindak pidana korupsi/ pencucian uang, kami sebagai penyetor atau sebagai pemilik rekeningsimpanan bersedia untuk tunduk pada peraturan perundang-undangan yang berlaku yaitu  Undang Undang Perbankan dan Undang Undang Tindak Pidana Pencucian uang ( UUTPPU).</a:t>
          </a:r>
          <a:endParaRPr lang="en-US" sz="1100"/>
        </a:p>
      </xdr:txBody>
    </xdr:sp>
    <xdr:clientData/>
  </xdr:twoCellAnchor>
  <xdr:twoCellAnchor>
    <xdr:from>
      <xdr:col>4</xdr:col>
      <xdr:colOff>464820</xdr:colOff>
      <xdr:row>3</xdr:row>
      <xdr:rowOff>30481</xdr:rowOff>
    </xdr:from>
    <xdr:to>
      <xdr:col>4</xdr:col>
      <xdr:colOff>605881</xdr:colOff>
      <xdr:row>3</xdr:row>
      <xdr:rowOff>183108</xdr:rowOff>
    </xdr:to>
    <xdr:sp macro="" textlink="">
      <xdr:nvSpPr>
        <xdr:cNvPr id="17" name="Rectangle 16">
          <a:extLst>
            <a:ext uri="{FF2B5EF4-FFF2-40B4-BE49-F238E27FC236}">
              <a16:creationId xmlns:a16="http://schemas.microsoft.com/office/drawing/2014/main" id="{00000000-0008-0000-1000-000011000000}"/>
            </a:ext>
          </a:extLst>
        </xdr:cNvPr>
        <xdr:cNvSpPr/>
      </xdr:nvSpPr>
      <xdr:spPr>
        <a:xfrm>
          <a:off x="2743200" y="647701"/>
          <a:ext cx="150586" cy="143088"/>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7</xdr:col>
      <xdr:colOff>483870</xdr:colOff>
      <xdr:row>3</xdr:row>
      <xdr:rowOff>47625</xdr:rowOff>
    </xdr:from>
    <xdr:to>
      <xdr:col>7</xdr:col>
      <xdr:colOff>605881</xdr:colOff>
      <xdr:row>3</xdr:row>
      <xdr:rowOff>183256</xdr:rowOff>
    </xdr:to>
    <xdr:sp macro="" textlink="">
      <xdr:nvSpPr>
        <xdr:cNvPr id="18" name="Rectangle 17">
          <a:extLst>
            <a:ext uri="{FF2B5EF4-FFF2-40B4-BE49-F238E27FC236}">
              <a16:creationId xmlns:a16="http://schemas.microsoft.com/office/drawing/2014/main" id="{00000000-0008-0000-1000-000012000000}"/>
            </a:ext>
          </a:extLst>
        </xdr:cNvPr>
        <xdr:cNvSpPr/>
      </xdr:nvSpPr>
      <xdr:spPr>
        <a:xfrm>
          <a:off x="2586990" y="8391525"/>
          <a:ext cx="169636" cy="12594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464820</xdr:colOff>
      <xdr:row>11</xdr:row>
      <xdr:rowOff>30481</xdr:rowOff>
    </xdr:from>
    <xdr:to>
      <xdr:col>4</xdr:col>
      <xdr:colOff>605881</xdr:colOff>
      <xdr:row>11</xdr:row>
      <xdr:rowOff>183108</xdr:rowOff>
    </xdr:to>
    <xdr:sp macro="" textlink="">
      <xdr:nvSpPr>
        <xdr:cNvPr id="20" name="Rectangle 19">
          <a:extLst>
            <a:ext uri="{FF2B5EF4-FFF2-40B4-BE49-F238E27FC236}">
              <a16:creationId xmlns:a16="http://schemas.microsoft.com/office/drawing/2014/main" id="{00000000-0008-0000-1000-000014000000}"/>
            </a:ext>
          </a:extLst>
        </xdr:cNvPr>
        <xdr:cNvSpPr/>
      </xdr:nvSpPr>
      <xdr:spPr>
        <a:xfrm>
          <a:off x="2743200" y="647701"/>
          <a:ext cx="150586" cy="143088"/>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464820</xdr:colOff>
      <xdr:row>14</xdr:row>
      <xdr:rowOff>30481</xdr:rowOff>
    </xdr:from>
    <xdr:to>
      <xdr:col>4</xdr:col>
      <xdr:colOff>605881</xdr:colOff>
      <xdr:row>14</xdr:row>
      <xdr:rowOff>183108</xdr:rowOff>
    </xdr:to>
    <xdr:sp macro="" textlink="">
      <xdr:nvSpPr>
        <xdr:cNvPr id="21" name="Rectangle 20">
          <a:extLst>
            <a:ext uri="{FF2B5EF4-FFF2-40B4-BE49-F238E27FC236}">
              <a16:creationId xmlns:a16="http://schemas.microsoft.com/office/drawing/2014/main" id="{00000000-0008-0000-1000-000015000000}"/>
            </a:ext>
          </a:extLst>
        </xdr:cNvPr>
        <xdr:cNvSpPr/>
      </xdr:nvSpPr>
      <xdr:spPr>
        <a:xfrm>
          <a:off x="2743200" y="647701"/>
          <a:ext cx="150586" cy="143088"/>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464820</xdr:colOff>
      <xdr:row>15</xdr:row>
      <xdr:rowOff>30481</xdr:rowOff>
    </xdr:from>
    <xdr:to>
      <xdr:col>4</xdr:col>
      <xdr:colOff>605881</xdr:colOff>
      <xdr:row>15</xdr:row>
      <xdr:rowOff>183108</xdr:rowOff>
    </xdr:to>
    <xdr:sp macro="" textlink="">
      <xdr:nvSpPr>
        <xdr:cNvPr id="22" name="Rectangle 21">
          <a:extLst>
            <a:ext uri="{FF2B5EF4-FFF2-40B4-BE49-F238E27FC236}">
              <a16:creationId xmlns:a16="http://schemas.microsoft.com/office/drawing/2014/main" id="{00000000-0008-0000-1000-000016000000}"/>
            </a:ext>
          </a:extLst>
        </xdr:cNvPr>
        <xdr:cNvSpPr/>
      </xdr:nvSpPr>
      <xdr:spPr>
        <a:xfrm>
          <a:off x="2743200" y="647701"/>
          <a:ext cx="150586" cy="143088"/>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464820</xdr:colOff>
      <xdr:row>16</xdr:row>
      <xdr:rowOff>30481</xdr:rowOff>
    </xdr:from>
    <xdr:to>
      <xdr:col>4</xdr:col>
      <xdr:colOff>605881</xdr:colOff>
      <xdr:row>16</xdr:row>
      <xdr:rowOff>183108</xdr:rowOff>
    </xdr:to>
    <xdr:sp macro="" textlink="">
      <xdr:nvSpPr>
        <xdr:cNvPr id="23" name="Rectangle 22">
          <a:extLst>
            <a:ext uri="{FF2B5EF4-FFF2-40B4-BE49-F238E27FC236}">
              <a16:creationId xmlns:a16="http://schemas.microsoft.com/office/drawing/2014/main" id="{00000000-0008-0000-1000-000017000000}"/>
            </a:ext>
          </a:extLst>
        </xdr:cNvPr>
        <xdr:cNvSpPr/>
      </xdr:nvSpPr>
      <xdr:spPr>
        <a:xfrm>
          <a:off x="2743200" y="647701"/>
          <a:ext cx="150586" cy="143088"/>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464820</xdr:colOff>
      <xdr:row>14</xdr:row>
      <xdr:rowOff>30481</xdr:rowOff>
    </xdr:from>
    <xdr:to>
      <xdr:col>6</xdr:col>
      <xdr:colOff>605881</xdr:colOff>
      <xdr:row>14</xdr:row>
      <xdr:rowOff>183108</xdr:rowOff>
    </xdr:to>
    <xdr:sp macro="" textlink="">
      <xdr:nvSpPr>
        <xdr:cNvPr id="24" name="Rectangle 23">
          <a:extLst>
            <a:ext uri="{FF2B5EF4-FFF2-40B4-BE49-F238E27FC236}">
              <a16:creationId xmlns:a16="http://schemas.microsoft.com/office/drawing/2014/main" id="{00000000-0008-0000-1000-000018000000}"/>
            </a:ext>
          </a:extLst>
        </xdr:cNvPr>
        <xdr:cNvSpPr/>
      </xdr:nvSpPr>
      <xdr:spPr>
        <a:xfrm>
          <a:off x="2743200" y="647701"/>
          <a:ext cx="150586" cy="143088"/>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464820</xdr:colOff>
      <xdr:row>15</xdr:row>
      <xdr:rowOff>30481</xdr:rowOff>
    </xdr:from>
    <xdr:to>
      <xdr:col>6</xdr:col>
      <xdr:colOff>605881</xdr:colOff>
      <xdr:row>15</xdr:row>
      <xdr:rowOff>183108</xdr:rowOff>
    </xdr:to>
    <xdr:sp macro="" textlink="">
      <xdr:nvSpPr>
        <xdr:cNvPr id="25" name="Rectangle 24">
          <a:extLst>
            <a:ext uri="{FF2B5EF4-FFF2-40B4-BE49-F238E27FC236}">
              <a16:creationId xmlns:a16="http://schemas.microsoft.com/office/drawing/2014/main" id="{00000000-0008-0000-1000-000019000000}"/>
            </a:ext>
          </a:extLst>
        </xdr:cNvPr>
        <xdr:cNvSpPr/>
      </xdr:nvSpPr>
      <xdr:spPr>
        <a:xfrm>
          <a:off x="2743200" y="647701"/>
          <a:ext cx="150586" cy="143088"/>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464820</xdr:colOff>
      <xdr:row>25</xdr:row>
      <xdr:rowOff>30481</xdr:rowOff>
    </xdr:from>
    <xdr:to>
      <xdr:col>4</xdr:col>
      <xdr:colOff>605881</xdr:colOff>
      <xdr:row>25</xdr:row>
      <xdr:rowOff>183108</xdr:rowOff>
    </xdr:to>
    <xdr:sp macro="" textlink="">
      <xdr:nvSpPr>
        <xdr:cNvPr id="28" name="Rectangle 27">
          <a:extLst>
            <a:ext uri="{FF2B5EF4-FFF2-40B4-BE49-F238E27FC236}">
              <a16:creationId xmlns:a16="http://schemas.microsoft.com/office/drawing/2014/main" id="{00000000-0008-0000-1000-00001C000000}"/>
            </a:ext>
          </a:extLst>
        </xdr:cNvPr>
        <xdr:cNvSpPr/>
      </xdr:nvSpPr>
      <xdr:spPr>
        <a:xfrm>
          <a:off x="2743200" y="647701"/>
          <a:ext cx="150586" cy="143088"/>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464820</xdr:colOff>
      <xdr:row>24</xdr:row>
      <xdr:rowOff>30481</xdr:rowOff>
    </xdr:from>
    <xdr:to>
      <xdr:col>4</xdr:col>
      <xdr:colOff>605881</xdr:colOff>
      <xdr:row>24</xdr:row>
      <xdr:rowOff>183108</xdr:rowOff>
    </xdr:to>
    <xdr:sp macro="" textlink="">
      <xdr:nvSpPr>
        <xdr:cNvPr id="29" name="Rectangle 28">
          <a:extLst>
            <a:ext uri="{FF2B5EF4-FFF2-40B4-BE49-F238E27FC236}">
              <a16:creationId xmlns:a16="http://schemas.microsoft.com/office/drawing/2014/main" id="{00000000-0008-0000-1000-00001D000000}"/>
            </a:ext>
          </a:extLst>
        </xdr:cNvPr>
        <xdr:cNvSpPr/>
      </xdr:nvSpPr>
      <xdr:spPr>
        <a:xfrm>
          <a:off x="2743200" y="647701"/>
          <a:ext cx="150586" cy="143088"/>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6</xdr:col>
      <xdr:colOff>464820</xdr:colOff>
      <xdr:row>24</xdr:row>
      <xdr:rowOff>30481</xdr:rowOff>
    </xdr:from>
    <xdr:to>
      <xdr:col>6</xdr:col>
      <xdr:colOff>605881</xdr:colOff>
      <xdr:row>24</xdr:row>
      <xdr:rowOff>183108</xdr:rowOff>
    </xdr:to>
    <xdr:sp macro="" textlink="">
      <xdr:nvSpPr>
        <xdr:cNvPr id="30" name="Rectangle 29">
          <a:extLst>
            <a:ext uri="{FF2B5EF4-FFF2-40B4-BE49-F238E27FC236}">
              <a16:creationId xmlns:a16="http://schemas.microsoft.com/office/drawing/2014/main" id="{00000000-0008-0000-1000-00001E000000}"/>
            </a:ext>
          </a:extLst>
        </xdr:cNvPr>
        <xdr:cNvSpPr/>
      </xdr:nvSpPr>
      <xdr:spPr>
        <a:xfrm>
          <a:off x="2743200" y="647701"/>
          <a:ext cx="150586" cy="143088"/>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7</xdr:col>
      <xdr:colOff>464820</xdr:colOff>
      <xdr:row>11</xdr:row>
      <xdr:rowOff>30481</xdr:rowOff>
    </xdr:from>
    <xdr:to>
      <xdr:col>7</xdr:col>
      <xdr:colOff>605881</xdr:colOff>
      <xdr:row>11</xdr:row>
      <xdr:rowOff>183108</xdr:rowOff>
    </xdr:to>
    <xdr:sp macro="" textlink="">
      <xdr:nvSpPr>
        <xdr:cNvPr id="32" name="Rectangle 31">
          <a:extLst>
            <a:ext uri="{FF2B5EF4-FFF2-40B4-BE49-F238E27FC236}">
              <a16:creationId xmlns:a16="http://schemas.microsoft.com/office/drawing/2014/main" id="{00000000-0008-0000-1000-000020000000}"/>
            </a:ext>
          </a:extLst>
        </xdr:cNvPr>
        <xdr:cNvSpPr/>
      </xdr:nvSpPr>
      <xdr:spPr>
        <a:xfrm>
          <a:off x="2743200" y="647701"/>
          <a:ext cx="150586" cy="143088"/>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0</xdr:col>
      <xdr:colOff>440055</xdr:colOff>
      <xdr:row>3</xdr:row>
      <xdr:rowOff>38101</xdr:rowOff>
    </xdr:from>
    <xdr:to>
      <xdr:col>0</xdr:col>
      <xdr:colOff>590641</xdr:colOff>
      <xdr:row>4</xdr:row>
      <xdr:rowOff>228</xdr:rowOff>
    </xdr:to>
    <xdr:sp macro="" textlink="">
      <xdr:nvSpPr>
        <xdr:cNvPr id="35" name="Rectangle 34">
          <a:extLst>
            <a:ext uri="{FF2B5EF4-FFF2-40B4-BE49-F238E27FC236}">
              <a16:creationId xmlns:a16="http://schemas.microsoft.com/office/drawing/2014/main" id="{00000000-0008-0000-1000-000023000000}"/>
            </a:ext>
          </a:extLst>
        </xdr:cNvPr>
        <xdr:cNvSpPr/>
      </xdr:nvSpPr>
      <xdr:spPr>
        <a:xfrm>
          <a:off x="449580" y="647701"/>
          <a:ext cx="150586" cy="143088"/>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394335</xdr:colOff>
      <xdr:row>24</xdr:row>
      <xdr:rowOff>30481</xdr:rowOff>
    </xdr:from>
    <xdr:to>
      <xdr:col>8</xdr:col>
      <xdr:colOff>519577</xdr:colOff>
      <xdr:row>24</xdr:row>
      <xdr:rowOff>167640</xdr:rowOff>
    </xdr:to>
    <xdr:sp macro="" textlink="">
      <xdr:nvSpPr>
        <xdr:cNvPr id="19" name="Rectangle 18">
          <a:extLst>
            <a:ext uri="{FF2B5EF4-FFF2-40B4-BE49-F238E27FC236}">
              <a16:creationId xmlns:a16="http://schemas.microsoft.com/office/drawing/2014/main" id="{00000000-0008-0000-1000-000013000000}"/>
            </a:ext>
          </a:extLst>
        </xdr:cNvPr>
        <xdr:cNvSpPr/>
      </xdr:nvSpPr>
      <xdr:spPr>
        <a:xfrm>
          <a:off x="5288280" y="4495801"/>
          <a:ext cx="135346" cy="137159"/>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4</xdr:col>
      <xdr:colOff>285750</xdr:colOff>
      <xdr:row>3</xdr:row>
      <xdr:rowOff>19051</xdr:rowOff>
    </xdr:from>
    <xdr:to>
      <xdr:col>4</xdr:col>
      <xdr:colOff>426811</xdr:colOff>
      <xdr:row>3</xdr:row>
      <xdr:rowOff>171678</xdr:rowOff>
    </xdr:to>
    <xdr:sp macro="" textlink="">
      <xdr:nvSpPr>
        <xdr:cNvPr id="31" name="Rectangle 30">
          <a:extLst>
            <a:ext uri="{FF2B5EF4-FFF2-40B4-BE49-F238E27FC236}">
              <a16:creationId xmlns:a16="http://schemas.microsoft.com/office/drawing/2014/main" id="{00000000-0008-0000-1000-00001F000000}"/>
            </a:ext>
          </a:extLst>
        </xdr:cNvPr>
        <xdr:cNvSpPr/>
      </xdr:nvSpPr>
      <xdr:spPr>
        <a:xfrm>
          <a:off x="2743200" y="647701"/>
          <a:ext cx="141061" cy="152627"/>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419100</xdr:colOff>
      <xdr:row>14</xdr:row>
      <xdr:rowOff>19050</xdr:rowOff>
    </xdr:from>
    <xdr:to>
      <xdr:col>8</xdr:col>
      <xdr:colOff>560161</xdr:colOff>
      <xdr:row>14</xdr:row>
      <xdr:rowOff>171677</xdr:rowOff>
    </xdr:to>
    <xdr:sp macro="" textlink="">
      <xdr:nvSpPr>
        <xdr:cNvPr id="33" name="Rectangle 32">
          <a:extLst>
            <a:ext uri="{FF2B5EF4-FFF2-40B4-BE49-F238E27FC236}">
              <a16:creationId xmlns:a16="http://schemas.microsoft.com/office/drawing/2014/main" id="{00000000-0008-0000-1000-000021000000}"/>
            </a:ext>
          </a:extLst>
        </xdr:cNvPr>
        <xdr:cNvSpPr/>
      </xdr:nvSpPr>
      <xdr:spPr>
        <a:xfrm>
          <a:off x="5229225" y="2762250"/>
          <a:ext cx="141061" cy="152627"/>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419100</xdr:colOff>
      <xdr:row>15</xdr:row>
      <xdr:rowOff>19050</xdr:rowOff>
    </xdr:from>
    <xdr:to>
      <xdr:col>8</xdr:col>
      <xdr:colOff>560161</xdr:colOff>
      <xdr:row>15</xdr:row>
      <xdr:rowOff>171677</xdr:rowOff>
    </xdr:to>
    <xdr:sp macro="" textlink="">
      <xdr:nvSpPr>
        <xdr:cNvPr id="34" name="Rectangle 33">
          <a:extLst>
            <a:ext uri="{FF2B5EF4-FFF2-40B4-BE49-F238E27FC236}">
              <a16:creationId xmlns:a16="http://schemas.microsoft.com/office/drawing/2014/main" id="{00000000-0008-0000-1000-000022000000}"/>
            </a:ext>
          </a:extLst>
        </xdr:cNvPr>
        <xdr:cNvSpPr/>
      </xdr:nvSpPr>
      <xdr:spPr>
        <a:xfrm>
          <a:off x="5229225" y="2952750"/>
          <a:ext cx="141061" cy="152627"/>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rtlCol="0" anchor="ctr"/>
      <a:lstStyle>
        <a:defPPr algn="ctr">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www.olx.com/" TargetMode="External"/><Relationship Id="rId2" Type="http://schemas.openxmlformats.org/officeDocument/2006/relationships/hyperlink" Target="http://www.carmudi.co.id/" TargetMode="External"/><Relationship Id="rId1" Type="http://schemas.openxmlformats.org/officeDocument/2006/relationships/hyperlink" Target="http://www.olx.com/" TargetMode="External"/><Relationship Id="rId5" Type="http://schemas.openxmlformats.org/officeDocument/2006/relationships/printerSettings" Target="../printerSettings/printerSettings9.bin"/><Relationship Id="rId4" Type="http://schemas.openxmlformats.org/officeDocument/2006/relationships/hyperlink" Target="http://www.carmudi.co.id/"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tabSelected="1" workbookViewId="0">
      <selection activeCell="B1" sqref="B1"/>
    </sheetView>
  </sheetViews>
  <sheetFormatPr defaultRowHeight="15" x14ac:dyDescent="0.25"/>
  <cols>
    <col min="1" max="1" width="31.28515625" customWidth="1"/>
    <col min="2" max="2" width="26.85546875" customWidth="1"/>
    <col min="3" max="3" width="17.85546875" customWidth="1"/>
    <col min="4" max="4" width="18.7109375" customWidth="1"/>
    <col min="6" max="6" width="14.28515625" bestFit="1" customWidth="1"/>
  </cols>
  <sheetData>
    <row r="1" spans="1:8" x14ac:dyDescent="0.25">
      <c r="A1" t="s">
        <v>380</v>
      </c>
      <c r="B1" s="182">
        <v>45986</v>
      </c>
    </row>
    <row r="2" spans="1:8" x14ac:dyDescent="0.25">
      <c r="A2" t="s">
        <v>371</v>
      </c>
      <c r="B2" t="s">
        <v>625</v>
      </c>
      <c r="C2" s="599" t="s">
        <v>564</v>
      </c>
      <c r="E2" s="823" t="s">
        <v>565</v>
      </c>
      <c r="F2" s="824"/>
    </row>
    <row r="3" spans="1:8" x14ac:dyDescent="0.25">
      <c r="A3" t="s">
        <v>376</v>
      </c>
      <c r="B3" t="s">
        <v>626</v>
      </c>
      <c r="C3" s="600">
        <f>DATEVALUE(RIGHT(B3,LEN(B3)-SEARCH(",",B3)-1))</f>
        <v>28599</v>
      </c>
      <c r="D3" s="597" t="str">
        <f>DATEDIF(C3,B1,"Y")&amp;" TAHUN, "&amp;DATEDIF(C3,B1,"YM")&amp;" BULAN"</f>
        <v>47 TAHUN, 7 BULAN</v>
      </c>
      <c r="E3" s="595">
        <f>DATEDIF(C3,B1,"Y")</f>
        <v>47</v>
      </c>
      <c r="F3" s="601" t="s">
        <v>566</v>
      </c>
    </row>
    <row r="4" spans="1:8" x14ac:dyDescent="0.25">
      <c r="A4" t="s">
        <v>377</v>
      </c>
      <c r="B4" t="s">
        <v>631</v>
      </c>
      <c r="E4" s="595">
        <f>DATEDIF(C3,B1,"YM")</f>
        <v>7</v>
      </c>
      <c r="F4" s="601" t="s">
        <v>567</v>
      </c>
    </row>
    <row r="5" spans="1:8" x14ac:dyDescent="0.25">
      <c r="A5" t="s">
        <v>379</v>
      </c>
      <c r="B5" s="596" t="str">
        <f>B9</f>
        <v>JARAKSARI WONOSOBO</v>
      </c>
      <c r="E5" s="595">
        <f>DATEDIF(C3,B1,"MD")</f>
        <v>6</v>
      </c>
      <c r="F5" s="601" t="s">
        <v>568</v>
      </c>
    </row>
    <row r="6" spans="1:8" x14ac:dyDescent="0.25">
      <c r="A6" t="s">
        <v>372</v>
      </c>
      <c r="B6" t="s">
        <v>632</v>
      </c>
      <c r="C6" s="599" t="s">
        <v>564</v>
      </c>
      <c r="E6" s="823" t="s">
        <v>565</v>
      </c>
      <c r="F6" s="824"/>
    </row>
    <row r="7" spans="1:8" x14ac:dyDescent="0.25">
      <c r="A7" t="s">
        <v>376</v>
      </c>
      <c r="B7" t="s">
        <v>633</v>
      </c>
      <c r="C7" s="600">
        <f>DATEVALUE(RIGHT(B7,LEN(B7)-SEARCH(",",B7)-1))</f>
        <v>25897</v>
      </c>
      <c r="D7" s="597" t="str">
        <f>DATEDIF(C7,B1,"Y")&amp;" TAHUN, "&amp;DATEDIF(C7,B1,"YM")&amp;" BULAN"</f>
        <v>55 TAHUN, 0 BULAN</v>
      </c>
      <c r="E7" s="595">
        <f>DATEDIF(C7,B1,"Y")</f>
        <v>55</v>
      </c>
      <c r="F7" s="601" t="s">
        <v>566</v>
      </c>
    </row>
    <row r="8" spans="1:8" x14ac:dyDescent="0.25">
      <c r="A8" t="s">
        <v>377</v>
      </c>
      <c r="B8" t="s">
        <v>766</v>
      </c>
      <c r="E8" s="595">
        <f>DATEDIF(C7,B1,"YM")</f>
        <v>0</v>
      </c>
      <c r="F8" s="601" t="s">
        <v>567</v>
      </c>
      <c r="G8" s="180"/>
    </row>
    <row r="9" spans="1:8" x14ac:dyDescent="0.25">
      <c r="A9" t="s">
        <v>379</v>
      </c>
      <c r="B9" s="598" t="str">
        <f>""&amp;B12&amp;" "&amp;B13</f>
        <v>JARAKSARI WONOSOBO</v>
      </c>
      <c r="E9" s="595">
        <f>DATEDIF(C7,B1,"MD")</f>
        <v>0</v>
      </c>
      <c r="F9" s="601" t="s">
        <v>568</v>
      </c>
      <c r="G9" s="180"/>
    </row>
    <row r="10" spans="1:8" x14ac:dyDescent="0.25">
      <c r="A10" t="s">
        <v>474</v>
      </c>
      <c r="B10" s="598" t="str">
        <f>""&amp;B11&amp;" "&amp;D11&amp;" "&amp;B12&amp;" "&amp;B13</f>
        <v>TOSARI REJO 001/006 JARAKSARI WONOSOBO</v>
      </c>
      <c r="E10" s="180"/>
      <c r="F10" s="180"/>
      <c r="G10" s="180"/>
    </row>
    <row r="11" spans="1:8" x14ac:dyDescent="0.25">
      <c r="A11" s="602" t="s">
        <v>396</v>
      </c>
      <c r="B11" s="602" t="s">
        <v>628</v>
      </c>
      <c r="C11" s="602" t="s">
        <v>562</v>
      </c>
      <c r="D11" s="602" t="s">
        <v>630</v>
      </c>
      <c r="E11" s="180"/>
      <c r="F11" s="180"/>
      <c r="H11" s="596" t="str">
        <f>""&amp;B11&amp;" "&amp;D11&amp;" "&amp;B12&amp;" "&amp;B13&amp;" "&amp;B14</f>
        <v>TOSARI REJO 001/006 JARAKSARI WONOSOBO WONOSOBO</v>
      </c>
    </row>
    <row r="12" spans="1:8" x14ac:dyDescent="0.25">
      <c r="A12" s="602" t="s">
        <v>397</v>
      </c>
      <c r="B12" s="602" t="s">
        <v>629</v>
      </c>
      <c r="C12" s="616"/>
      <c r="D12" s="616"/>
      <c r="E12" s="180"/>
      <c r="F12" s="180"/>
      <c r="G12" s="180"/>
    </row>
    <row r="13" spans="1:8" x14ac:dyDescent="0.25">
      <c r="A13" s="602" t="s">
        <v>399</v>
      </c>
      <c r="B13" s="602" t="s">
        <v>484</v>
      </c>
      <c r="C13" s="616"/>
      <c r="D13" s="616"/>
      <c r="E13" s="180"/>
      <c r="F13" s="180"/>
      <c r="G13" s="180"/>
    </row>
    <row r="14" spans="1:8" x14ac:dyDescent="0.25">
      <c r="A14" s="602" t="s">
        <v>483</v>
      </c>
      <c r="B14" s="602" t="s">
        <v>484</v>
      </c>
    </row>
    <row r="15" spans="1:8" x14ac:dyDescent="0.25">
      <c r="A15" t="s">
        <v>188</v>
      </c>
      <c r="B15" s="219" t="s">
        <v>624</v>
      </c>
    </row>
    <row r="16" spans="1:8" x14ac:dyDescent="0.25">
      <c r="A16" t="s">
        <v>373</v>
      </c>
      <c r="B16" s="219" t="s">
        <v>627</v>
      </c>
    </row>
    <row r="17" spans="1:5" x14ac:dyDescent="0.25">
      <c r="A17" t="s">
        <v>378</v>
      </c>
      <c r="B17" s="179" t="s">
        <v>634</v>
      </c>
    </row>
    <row r="18" spans="1:5" x14ac:dyDescent="0.25">
      <c r="A18" t="s">
        <v>374</v>
      </c>
      <c r="B18" s="573">
        <v>2000000000</v>
      </c>
    </row>
    <row r="19" spans="1:5" x14ac:dyDescent="0.25">
      <c r="A19" t="s">
        <v>173</v>
      </c>
      <c r="B19" s="574">
        <v>12</v>
      </c>
    </row>
    <row r="20" spans="1:5" x14ac:dyDescent="0.25">
      <c r="A20" t="s">
        <v>174</v>
      </c>
      <c r="B20" s="575">
        <v>1.4999999999999999E-2</v>
      </c>
      <c r="D20" s="676">
        <f>-PMT(B$20/12,$B$19,B18)</f>
        <v>168023934.68230143</v>
      </c>
    </row>
    <row r="21" spans="1:5" x14ac:dyDescent="0.25">
      <c r="A21" t="s">
        <v>398</v>
      </c>
      <c r="B21" s="596" t="str">
        <f>B10</f>
        <v>TOSARI REJO 001/006 JARAKSARI WONOSOBO</v>
      </c>
      <c r="E21" s="180"/>
    </row>
    <row r="22" spans="1:5" x14ac:dyDescent="0.25">
      <c r="A22" t="s">
        <v>375</v>
      </c>
      <c r="B22" t="s">
        <v>635</v>
      </c>
    </row>
    <row r="23" spans="1:5" x14ac:dyDescent="0.25">
      <c r="A23" t="s">
        <v>475</v>
      </c>
      <c r="B23" t="s">
        <v>668</v>
      </c>
    </row>
    <row r="24" spans="1:5" x14ac:dyDescent="0.25">
      <c r="A24" t="s">
        <v>481</v>
      </c>
      <c r="B24" s="596" t="s">
        <v>636</v>
      </c>
      <c r="E24" s="180"/>
    </row>
    <row r="25" spans="1:5" x14ac:dyDescent="0.25">
      <c r="A25" t="s">
        <v>479</v>
      </c>
      <c r="B25" s="179"/>
      <c r="D25" s="692"/>
    </row>
    <row r="26" spans="1:5" x14ac:dyDescent="0.25">
      <c r="A26" t="s">
        <v>477</v>
      </c>
      <c r="B26" t="s">
        <v>637</v>
      </c>
    </row>
    <row r="27" spans="1:5" x14ac:dyDescent="0.25">
      <c r="A27" t="s">
        <v>478</v>
      </c>
      <c r="B27" t="s">
        <v>517</v>
      </c>
    </row>
    <row r="28" spans="1:5" x14ac:dyDescent="0.25">
      <c r="A28" t="s">
        <v>387</v>
      </c>
      <c r="B28" t="s">
        <v>563</v>
      </c>
    </row>
    <row r="29" spans="1:5" x14ac:dyDescent="0.25">
      <c r="A29" t="s">
        <v>480</v>
      </c>
      <c r="B29" s="299" t="s">
        <v>682</v>
      </c>
      <c r="C29" s="299"/>
    </row>
    <row r="30" spans="1:5" x14ac:dyDescent="0.25">
      <c r="A30" t="s">
        <v>510</v>
      </c>
      <c r="B30" t="s">
        <v>768</v>
      </c>
    </row>
    <row r="31" spans="1:5" x14ac:dyDescent="0.25">
      <c r="A31" t="s">
        <v>495</v>
      </c>
      <c r="B31">
        <v>10</v>
      </c>
    </row>
    <row r="32" spans="1:5" x14ac:dyDescent="0.25">
      <c r="B32" s="182"/>
    </row>
  </sheetData>
  <mergeCells count="2">
    <mergeCell ref="E2:F2"/>
    <mergeCell ref="E6:F6"/>
  </mergeCell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A1:M55"/>
  <sheetViews>
    <sheetView workbookViewId="0">
      <selection activeCell="B41" sqref="B41"/>
    </sheetView>
  </sheetViews>
  <sheetFormatPr defaultColWidth="8.85546875" defaultRowHeight="13.5" x14ac:dyDescent="0.25"/>
  <cols>
    <col min="1" max="1" width="2.85546875" style="2" customWidth="1"/>
    <col min="2" max="2" width="34.42578125" style="139" customWidth="1"/>
    <col min="3" max="3" width="1.85546875" style="2" customWidth="1"/>
    <col min="4" max="4" width="26.7109375" style="2" customWidth="1"/>
    <col min="5" max="5" width="2.5703125" style="2" customWidth="1"/>
    <col min="6" max="6" width="25.140625" style="139" customWidth="1"/>
    <col min="7" max="7" width="3.42578125" style="2" customWidth="1"/>
    <col min="8" max="8" width="27" style="2" customWidth="1"/>
    <col min="9" max="9" width="3.140625" style="2" customWidth="1"/>
    <col min="10" max="10" width="11.42578125" style="2" bestFit="1" customWidth="1"/>
    <col min="11" max="11" width="8.85546875" style="2"/>
    <col min="12" max="12" width="12.42578125" style="2" bestFit="1" customWidth="1"/>
    <col min="13" max="13" width="10.42578125" style="2" bestFit="1" customWidth="1"/>
    <col min="14" max="16384" width="8.85546875" style="2"/>
  </cols>
  <sheetData>
    <row r="1" spans="1:10" x14ac:dyDescent="0.25">
      <c r="A1" s="354"/>
      <c r="B1" s="373"/>
      <c r="C1" s="291"/>
      <c r="D1" s="291"/>
      <c r="E1" s="291"/>
      <c r="F1" s="373"/>
      <c r="G1" s="291"/>
      <c r="H1" s="291"/>
      <c r="I1" s="266"/>
    </row>
    <row r="2" spans="1:10" ht="18" x14ac:dyDescent="0.25">
      <c r="A2" s="264"/>
      <c r="B2" s="831" t="s">
        <v>132</v>
      </c>
      <c r="C2" s="831"/>
      <c r="D2" s="831"/>
      <c r="E2" s="831"/>
      <c r="F2" s="831"/>
      <c r="G2" s="831"/>
      <c r="H2" s="831"/>
      <c r="I2" s="374"/>
      <c r="J2" s="23"/>
    </row>
    <row r="3" spans="1:10" x14ac:dyDescent="0.25">
      <c r="A3" s="264"/>
      <c r="B3" s="137"/>
      <c r="C3" s="38"/>
      <c r="D3" s="38"/>
      <c r="E3" s="38"/>
      <c r="F3" s="137"/>
      <c r="G3" s="38"/>
      <c r="H3" s="38"/>
      <c r="I3" s="375"/>
      <c r="J3" s="28"/>
    </row>
    <row r="4" spans="1:10" x14ac:dyDescent="0.25">
      <c r="A4" s="264"/>
      <c r="B4" s="825" t="s">
        <v>186</v>
      </c>
      <c r="C4" s="826"/>
      <c r="D4" s="826"/>
      <c r="E4" s="826"/>
      <c r="F4" s="826"/>
      <c r="G4" s="826"/>
      <c r="H4" s="827"/>
      <c r="I4" s="375"/>
      <c r="J4" s="28"/>
    </row>
    <row r="5" spans="1:10" x14ac:dyDescent="0.25">
      <c r="A5" s="264"/>
      <c r="B5" s="132" t="s">
        <v>16</v>
      </c>
      <c r="C5" s="11" t="s">
        <v>63</v>
      </c>
      <c r="D5" s="14" t="str">
        <f>'DATA AWAL NASABAH'!B2</f>
        <v>DYAH RETNO SULISTYOWATI</v>
      </c>
      <c r="E5" s="12"/>
      <c r="F5" s="137" t="s">
        <v>176</v>
      </c>
      <c r="G5" s="11" t="s">
        <v>63</v>
      </c>
      <c r="H5" s="125">
        <f>'DATA AWAL NASABAH'!B18</f>
        <v>2000000000</v>
      </c>
      <c r="I5" s="609"/>
      <c r="J5" s="59"/>
    </row>
    <row r="6" spans="1:10" x14ac:dyDescent="0.25">
      <c r="A6" s="264"/>
      <c r="B6" s="132" t="s">
        <v>175</v>
      </c>
      <c r="C6" s="11" t="s">
        <v>63</v>
      </c>
      <c r="D6" s="14" t="str">
        <f>'DATA AWAL NASABAH'!B4</f>
        <v>PNS</v>
      </c>
      <c r="E6" s="12"/>
      <c r="F6" s="137" t="s">
        <v>177</v>
      </c>
      <c r="G6" s="11" t="s">
        <v>63</v>
      </c>
      <c r="H6" s="79">
        <f>'DATA AWAL NASABAH'!B19</f>
        <v>12</v>
      </c>
      <c r="I6" s="380"/>
      <c r="J6" s="44"/>
    </row>
    <row r="7" spans="1:10" x14ac:dyDescent="0.25">
      <c r="A7" s="264"/>
      <c r="B7" s="133" t="s">
        <v>189</v>
      </c>
      <c r="C7" s="11" t="s">
        <v>63</v>
      </c>
      <c r="D7" s="14" t="str">
        <f>'DATA AWAL NASABAH'!B5</f>
        <v>JARAKSARI WONOSOBO</v>
      </c>
      <c r="E7" s="38"/>
      <c r="F7" s="143" t="s">
        <v>199</v>
      </c>
      <c r="G7" s="11" t="s">
        <v>63</v>
      </c>
      <c r="H7" s="613" t="str">
        <f>'DATA AWAL NASABAH'!B29</f>
        <v>INVESTASI PEMBELIAN TANAH</v>
      </c>
      <c r="I7" s="375"/>
      <c r="J7" s="38"/>
    </row>
    <row r="8" spans="1:10" x14ac:dyDescent="0.25">
      <c r="A8" s="264"/>
      <c r="B8" s="133" t="s">
        <v>188</v>
      </c>
      <c r="C8" s="11" t="s">
        <v>63</v>
      </c>
      <c r="D8" s="174" t="str">
        <f>'DATA AWAL NASABAH'!B15</f>
        <v>0811261088</v>
      </c>
      <c r="E8" s="44"/>
      <c r="F8" s="143" t="s">
        <v>360</v>
      </c>
      <c r="G8" s="11" t="s">
        <v>63</v>
      </c>
      <c r="H8" s="186">
        <f>'DATA AWAL NASABAH'!B20</f>
        <v>1.4999999999999999E-2</v>
      </c>
      <c r="I8" s="376"/>
      <c r="J8" s="35"/>
    </row>
    <row r="9" spans="1:10" x14ac:dyDescent="0.25">
      <c r="A9" s="264"/>
      <c r="B9" s="133" t="s">
        <v>184</v>
      </c>
      <c r="C9" s="11" t="s">
        <v>63</v>
      </c>
      <c r="D9" s="608" t="str">
        <f>'DATA AWAL NASABAH'!B17</f>
        <v>3 ORANG</v>
      </c>
      <c r="E9" s="44"/>
      <c r="F9" s="143" t="s">
        <v>200</v>
      </c>
      <c r="G9" s="11" t="s">
        <v>63</v>
      </c>
      <c r="H9" s="610">
        <f>'KOMITE TEMPO'!D11</f>
        <v>2755400000</v>
      </c>
      <c r="I9" s="376"/>
      <c r="J9" s="35"/>
    </row>
    <row r="10" spans="1:10" ht="14.25" customHeight="1" x14ac:dyDescent="0.25">
      <c r="A10" s="264"/>
      <c r="B10" s="132" t="s">
        <v>185</v>
      </c>
      <c r="C10" s="11" t="s">
        <v>63</v>
      </c>
      <c r="D10" s="832" t="str">
        <f>'DATA AWAL NASABAH'!B21</f>
        <v>TOSARI REJO 001/006 JARAKSARI WONOSOBO</v>
      </c>
      <c r="E10" s="44"/>
      <c r="F10" s="607" t="s">
        <v>51</v>
      </c>
      <c r="G10" s="11" t="s">
        <v>63</v>
      </c>
      <c r="H10" s="611">
        <f>'KOMITE TEMPO'!D12</f>
        <v>2066550000</v>
      </c>
      <c r="I10" s="377"/>
      <c r="J10" s="55"/>
    </row>
    <row r="11" spans="1:10" ht="14.25" customHeight="1" x14ac:dyDescent="0.25">
      <c r="A11" s="264"/>
      <c r="B11" s="371"/>
      <c r="C11" s="5"/>
      <c r="D11" s="833"/>
      <c r="E11" s="4"/>
      <c r="F11" s="404"/>
      <c r="G11" s="5"/>
      <c r="H11" s="405"/>
      <c r="I11" s="377"/>
      <c r="J11" s="55"/>
    </row>
    <row r="12" spans="1:10" x14ac:dyDescent="0.25">
      <c r="A12" s="264"/>
      <c r="B12" s="372"/>
      <c r="C12" s="44"/>
      <c r="D12" s="44"/>
      <c r="E12" s="44"/>
      <c r="F12" s="143"/>
      <c r="G12" s="11"/>
      <c r="H12" s="11"/>
      <c r="I12" s="377"/>
      <c r="J12" s="55"/>
    </row>
    <row r="13" spans="1:10" x14ac:dyDescent="0.25">
      <c r="A13" s="264"/>
      <c r="B13" s="825" t="s">
        <v>205</v>
      </c>
      <c r="C13" s="826"/>
      <c r="D13" s="827"/>
      <c r="E13" s="56"/>
      <c r="F13" s="825" t="s">
        <v>187</v>
      </c>
      <c r="G13" s="826"/>
      <c r="H13" s="827"/>
      <c r="I13" s="377"/>
      <c r="J13" s="57"/>
    </row>
    <row r="14" spans="1:10" x14ac:dyDescent="0.25">
      <c r="A14" s="264"/>
      <c r="B14" s="134" t="s">
        <v>179</v>
      </c>
      <c r="C14" s="11" t="s">
        <v>63</v>
      </c>
      <c r="D14" s="126" t="s">
        <v>361</v>
      </c>
      <c r="E14" s="56"/>
      <c r="F14" s="144" t="s">
        <v>182</v>
      </c>
      <c r="G14" s="11" t="s">
        <v>63</v>
      </c>
      <c r="H14" s="126" t="str">
        <f>'DATA AWAL NASABAH'!B6</f>
        <v>AFIF NURHIDAYAT</v>
      </c>
      <c r="I14" s="377"/>
      <c r="J14" s="57"/>
    </row>
    <row r="15" spans="1:10" x14ac:dyDescent="0.25">
      <c r="A15" s="264"/>
      <c r="B15" s="134" t="s">
        <v>178</v>
      </c>
      <c r="C15" s="11" t="s">
        <v>63</v>
      </c>
      <c r="D15" s="126" t="s">
        <v>361</v>
      </c>
      <c r="E15" s="56"/>
      <c r="F15" s="144" t="s">
        <v>183</v>
      </c>
      <c r="G15" s="11" t="s">
        <v>63</v>
      </c>
      <c r="H15" s="126" t="str">
        <f>'DATA AWAL NASABAH'!B8</f>
        <v>BUPATI</v>
      </c>
      <c r="I15" s="377"/>
      <c r="J15" s="57"/>
    </row>
    <row r="16" spans="1:10" x14ac:dyDescent="0.25">
      <c r="A16" s="264"/>
      <c r="B16" s="135" t="s">
        <v>180</v>
      </c>
      <c r="C16" s="11" t="s">
        <v>63</v>
      </c>
      <c r="D16" s="126" t="s">
        <v>362</v>
      </c>
      <c r="E16" s="56"/>
      <c r="F16" s="133" t="s">
        <v>189</v>
      </c>
      <c r="G16" s="11" t="s">
        <v>63</v>
      </c>
      <c r="H16" s="126" t="str">
        <f>'DATA AWAL NASABAH'!B9</f>
        <v>JARAKSARI WONOSOBO</v>
      </c>
      <c r="I16" s="377"/>
      <c r="J16" s="57"/>
    </row>
    <row r="17" spans="1:10" x14ac:dyDescent="0.25">
      <c r="A17" s="264"/>
      <c r="B17" s="136" t="s">
        <v>181</v>
      </c>
      <c r="C17" s="5" t="s">
        <v>63</v>
      </c>
      <c r="D17" s="126" t="s">
        <v>148</v>
      </c>
      <c r="E17" s="56"/>
      <c r="F17" s="138" t="s">
        <v>188</v>
      </c>
      <c r="G17" s="5" t="s">
        <v>63</v>
      </c>
      <c r="H17" s="203" t="str">
        <f>'DATA AWAL NASABAH'!B15</f>
        <v>0811261088</v>
      </c>
      <c r="I17" s="377"/>
      <c r="J17" s="57"/>
    </row>
    <row r="18" spans="1:10" x14ac:dyDescent="0.25">
      <c r="A18" s="264"/>
      <c r="B18" s="137"/>
      <c r="C18" s="56"/>
      <c r="D18" s="56"/>
      <c r="E18" s="56"/>
      <c r="F18" s="143"/>
      <c r="G18" s="11"/>
      <c r="H18" s="11"/>
      <c r="I18" s="377"/>
      <c r="J18" s="57"/>
    </row>
    <row r="19" spans="1:10" x14ac:dyDescent="0.25">
      <c r="A19" s="264"/>
      <c r="B19" s="825" t="s">
        <v>190</v>
      </c>
      <c r="C19" s="826"/>
      <c r="D19" s="826"/>
      <c r="E19" s="826"/>
      <c r="F19" s="826"/>
      <c r="G19" s="826"/>
      <c r="H19" s="827"/>
      <c r="I19" s="377"/>
      <c r="J19" s="57"/>
    </row>
    <row r="20" spans="1:10" ht="28.5" customHeight="1" x14ac:dyDescent="0.25">
      <c r="A20" s="264"/>
      <c r="B20" s="705" t="s">
        <v>191</v>
      </c>
      <c r="C20" s="15" t="s">
        <v>63</v>
      </c>
      <c r="D20" s="706" t="str">
        <f>'DATA AWAL NASABAH'!B23</f>
        <v>ALFAMART KALIBEBER MANGGISAN DAN ROJOIMO</v>
      </c>
      <c r="E20" s="38"/>
      <c r="F20" s="707" t="s">
        <v>196</v>
      </c>
      <c r="G20" s="15" t="s">
        <v>63</v>
      </c>
      <c r="H20" s="708" t="s">
        <v>251</v>
      </c>
      <c r="I20" s="378"/>
      <c r="J20" s="58"/>
    </row>
    <row r="21" spans="1:10" x14ac:dyDescent="0.25">
      <c r="A21" s="264"/>
      <c r="B21" s="133" t="s">
        <v>192</v>
      </c>
      <c r="C21" s="11" t="s">
        <v>63</v>
      </c>
      <c r="D21" s="127" t="str">
        <f>'DATA AWAL NASABAH'!B26</f>
        <v>PERDAGANGAN</v>
      </c>
      <c r="E21" s="59"/>
      <c r="F21" s="137" t="s">
        <v>195</v>
      </c>
      <c r="G21" s="11" t="s">
        <v>63</v>
      </c>
      <c r="H21" s="129" t="str">
        <f>'DATA AWAL NASABAH'!B28</f>
        <v>LEBIH DARI 5 TAHUN</v>
      </c>
      <c r="I21" s="378"/>
      <c r="J21" s="58"/>
    </row>
    <row r="22" spans="1:10" x14ac:dyDescent="0.25">
      <c r="A22" s="264"/>
      <c r="B22" s="133" t="s">
        <v>193</v>
      </c>
      <c r="C22" s="11" t="s">
        <v>63</v>
      </c>
      <c r="D22" s="128" t="str">
        <f>'DATA AWAL NASABAH'!B24</f>
        <v>MUDAL WONOSOBO</v>
      </c>
      <c r="E22" s="59"/>
      <c r="F22" s="137" t="s">
        <v>194</v>
      </c>
      <c r="G22" s="11" t="s">
        <v>63</v>
      </c>
      <c r="H22" s="129" t="s">
        <v>400</v>
      </c>
      <c r="I22" s="375"/>
      <c r="J22" s="38"/>
    </row>
    <row r="23" spans="1:10" x14ac:dyDescent="0.25">
      <c r="A23" s="264"/>
      <c r="B23" s="138"/>
      <c r="C23" s="5"/>
      <c r="D23" s="61"/>
      <c r="E23" s="61"/>
      <c r="F23" s="145"/>
      <c r="G23" s="5"/>
      <c r="H23" s="130"/>
      <c r="I23" s="375"/>
      <c r="J23" s="38"/>
    </row>
    <row r="24" spans="1:10" x14ac:dyDescent="0.25">
      <c r="A24" s="264"/>
      <c r="B24" s="143"/>
      <c r="C24" s="60"/>
      <c r="D24" s="364"/>
      <c r="E24" s="364"/>
      <c r="F24" s="137"/>
      <c r="G24" s="38"/>
      <c r="H24" s="38"/>
      <c r="I24" s="375"/>
      <c r="J24" s="38"/>
    </row>
    <row r="25" spans="1:10" x14ac:dyDescent="0.25">
      <c r="A25" s="264"/>
      <c r="B25" s="828" t="s">
        <v>197</v>
      </c>
      <c r="C25" s="829"/>
      <c r="D25" s="829"/>
      <c r="E25" s="829"/>
      <c r="F25" s="829"/>
      <c r="G25" s="829"/>
      <c r="H25" s="830"/>
      <c r="I25" s="375"/>
      <c r="J25" s="38"/>
    </row>
    <row r="26" spans="1:10" x14ac:dyDescent="0.25">
      <c r="A26" s="264"/>
      <c r="B26" s="155" t="s">
        <v>198</v>
      </c>
      <c r="C26" s="156"/>
      <c r="D26" s="156"/>
      <c r="E26" s="156"/>
      <c r="F26" s="153" t="s">
        <v>202</v>
      </c>
      <c r="G26" s="17"/>
      <c r="H26" s="157"/>
      <c r="I26" s="374"/>
      <c r="J26" s="66"/>
    </row>
    <row r="27" spans="1:10" x14ac:dyDescent="0.25">
      <c r="A27" s="264"/>
      <c r="B27" s="133" t="str">
        <f>NERACA!J37</f>
        <v xml:space="preserve"> Omset Penjualan / Bulan</v>
      </c>
      <c r="C27" s="11" t="s">
        <v>63</v>
      </c>
      <c r="D27" s="62">
        <f>NERACA!AA37</f>
        <v>88229450</v>
      </c>
      <c r="E27" s="60"/>
      <c r="F27" s="137" t="str">
        <f>NERACA!J45</f>
        <v>Rumah Tangga</v>
      </c>
      <c r="G27" s="11" t="s">
        <v>63</v>
      </c>
      <c r="H27" s="151">
        <f>NERACA!P45</f>
        <v>5000000</v>
      </c>
      <c r="I27" s="375"/>
      <c r="J27" s="38"/>
    </row>
    <row r="28" spans="1:10" x14ac:dyDescent="0.25">
      <c r="A28" s="264"/>
      <c r="B28" s="133"/>
      <c r="C28" s="11" t="s">
        <v>63</v>
      </c>
      <c r="D28" s="62"/>
      <c r="E28" s="67"/>
      <c r="F28" s="137" t="str">
        <f>NERACA!J46</f>
        <v>Listrik, Air, Telepon</v>
      </c>
      <c r="G28" s="11" t="s">
        <v>63</v>
      </c>
      <c r="H28" s="151">
        <f>NERACA!P46</f>
        <v>1000000</v>
      </c>
      <c r="I28" s="375"/>
      <c r="J28" s="60"/>
    </row>
    <row r="29" spans="1:10" x14ac:dyDescent="0.25">
      <c r="A29" s="264"/>
      <c r="B29" s="133"/>
      <c r="C29" s="11" t="s">
        <v>63</v>
      </c>
      <c r="D29" s="62"/>
      <c r="E29" s="59"/>
      <c r="F29" s="137" t="e">
        <f>NERACA!#REF!</f>
        <v>#REF!</v>
      </c>
      <c r="G29" s="11" t="s">
        <v>63</v>
      </c>
      <c r="H29" s="151" t="e">
        <f>NERACA!#REF!</f>
        <v>#REF!</v>
      </c>
      <c r="I29" s="375"/>
      <c r="J29" s="60"/>
    </row>
    <row r="30" spans="1:10" ht="14.25" x14ac:dyDescent="0.3">
      <c r="A30" s="264"/>
      <c r="B30" s="402"/>
      <c r="C30" s="11" t="s">
        <v>63</v>
      </c>
      <c r="D30" s="62"/>
      <c r="E30" s="59"/>
      <c r="F30" s="137" t="str">
        <f>NERACA!J50</f>
        <v>Angsuran cimb niaga</v>
      </c>
      <c r="G30" s="11" t="s">
        <v>63</v>
      </c>
      <c r="H30" s="151">
        <f>NERACA!P50</f>
        <v>70000</v>
      </c>
      <c r="I30" s="375"/>
      <c r="J30" s="60"/>
    </row>
    <row r="31" spans="1:10" x14ac:dyDescent="0.25">
      <c r="A31" s="264"/>
      <c r="B31" s="206"/>
      <c r="C31" s="11" t="s">
        <v>63</v>
      </c>
      <c r="D31" s="62"/>
      <c r="E31" s="59"/>
      <c r="F31" s="137" t="str">
        <f>NERACA!J51</f>
        <v>Sosial &amp; Lain - lain</v>
      </c>
      <c r="G31" s="11" t="s">
        <v>63</v>
      </c>
      <c r="H31" s="151">
        <f>NERACA!P51</f>
        <v>2000000</v>
      </c>
      <c r="I31" s="375"/>
      <c r="J31" s="68"/>
    </row>
    <row r="32" spans="1:10" x14ac:dyDescent="0.25">
      <c r="A32" s="264"/>
      <c r="B32" s="160" t="s">
        <v>201</v>
      </c>
      <c r="C32" s="17" t="s">
        <v>63</v>
      </c>
      <c r="D32" s="152">
        <f>NERACA!AA38</f>
        <v>88229450</v>
      </c>
      <c r="E32" s="69"/>
      <c r="F32" s="137"/>
      <c r="G32" s="11" t="s">
        <v>63</v>
      </c>
      <c r="H32" s="151"/>
      <c r="I32" s="375"/>
      <c r="J32" s="60"/>
    </row>
    <row r="33" spans="1:13" x14ac:dyDescent="0.25">
      <c r="A33" s="264"/>
      <c r="B33" s="206" t="s">
        <v>425</v>
      </c>
      <c r="C33" s="11" t="s">
        <v>63</v>
      </c>
      <c r="D33" s="131"/>
      <c r="E33" s="70"/>
      <c r="F33" s="137"/>
      <c r="G33" s="11" t="s">
        <v>63</v>
      </c>
      <c r="H33" s="151"/>
      <c r="I33" s="379"/>
      <c r="J33" s="72"/>
    </row>
    <row r="34" spans="1:13" x14ac:dyDescent="0.25">
      <c r="A34" s="264"/>
      <c r="B34" s="206" t="s">
        <v>444</v>
      </c>
      <c r="C34" s="11" t="s">
        <v>63</v>
      </c>
      <c r="D34" s="131"/>
      <c r="E34" s="73"/>
      <c r="F34" s="137"/>
      <c r="G34" s="11" t="s">
        <v>63</v>
      </c>
      <c r="H34" s="614"/>
      <c r="I34" s="375"/>
      <c r="J34" s="38"/>
    </row>
    <row r="35" spans="1:13" x14ac:dyDescent="0.25">
      <c r="A35" s="264"/>
      <c r="B35" s="154" t="s">
        <v>135</v>
      </c>
      <c r="C35" s="75" t="s">
        <v>63</v>
      </c>
      <c r="D35" s="152">
        <f>D32+D33+D34</f>
        <v>88229450</v>
      </c>
      <c r="E35" s="61"/>
      <c r="F35" s="615" t="s">
        <v>136</v>
      </c>
      <c r="G35" s="75" t="s">
        <v>63</v>
      </c>
      <c r="H35" s="298" t="e">
        <f>SUM(H27:H34)</f>
        <v>#REF!</v>
      </c>
      <c r="I35" s="380"/>
      <c r="J35" s="44"/>
    </row>
    <row r="36" spans="1:13" x14ac:dyDescent="0.25">
      <c r="A36" s="264"/>
      <c r="B36" s="137"/>
      <c r="C36" s="60"/>
      <c r="D36" s="59"/>
      <c r="E36" s="59"/>
      <c r="F36" s="137"/>
      <c r="G36" s="60"/>
      <c r="H36" s="38"/>
      <c r="I36" s="375"/>
      <c r="J36" s="38"/>
    </row>
    <row r="37" spans="1:13" x14ac:dyDescent="0.25">
      <c r="A37" s="264"/>
      <c r="B37" s="140" t="s">
        <v>155</v>
      </c>
      <c r="C37" s="63"/>
      <c r="D37" s="74"/>
      <c r="E37" s="59"/>
      <c r="F37" s="308" t="s">
        <v>489</v>
      </c>
      <c r="G37" s="64"/>
      <c r="H37" s="65"/>
      <c r="I37" s="375"/>
      <c r="J37" s="60"/>
    </row>
    <row r="38" spans="1:13" x14ac:dyDescent="0.25">
      <c r="A38" s="264"/>
      <c r="B38" s="134" t="s">
        <v>135</v>
      </c>
      <c r="C38" s="11" t="s">
        <v>63</v>
      </c>
      <c r="D38" s="80">
        <f>D35</f>
        <v>88229450</v>
      </c>
      <c r="E38" s="67"/>
      <c r="F38" s="134" t="s">
        <v>130</v>
      </c>
      <c r="G38" s="11" t="s">
        <v>63</v>
      </c>
      <c r="H38" s="80">
        <f>D35</f>
        <v>88229450</v>
      </c>
      <c r="I38" s="375"/>
      <c r="J38" s="60"/>
    </row>
    <row r="39" spans="1:13" x14ac:dyDescent="0.25">
      <c r="A39" s="264"/>
      <c r="B39" s="134" t="str">
        <f>F35</f>
        <v>TOTAL PENGELUARAN</v>
      </c>
      <c r="C39" s="11" t="s">
        <v>63</v>
      </c>
      <c r="D39" s="158" t="e">
        <f>H35</f>
        <v>#REF!</v>
      </c>
      <c r="E39" s="38"/>
      <c r="F39" s="134" t="s">
        <v>134</v>
      </c>
      <c r="G39" s="11" t="s">
        <v>63</v>
      </c>
      <c r="H39" s="403">
        <f>NERACA!P71</f>
        <v>77338584.023785025</v>
      </c>
      <c r="I39" s="375"/>
      <c r="J39" s="60"/>
    </row>
    <row r="40" spans="1:13" x14ac:dyDescent="0.25">
      <c r="A40" s="264"/>
      <c r="B40" s="141" t="s">
        <v>131</v>
      </c>
      <c r="C40" s="17" t="s">
        <v>63</v>
      </c>
      <c r="D40" s="159" t="e">
        <f>D38-D39</f>
        <v>#REF!</v>
      </c>
      <c r="E40" s="38"/>
      <c r="F40" s="141" t="s">
        <v>137</v>
      </c>
      <c r="G40" s="17" t="s">
        <v>63</v>
      </c>
      <c r="H40" s="713">
        <f>H38-H39</f>
        <v>10890865.976214975</v>
      </c>
      <c r="I40" s="375"/>
      <c r="J40" s="72"/>
    </row>
    <row r="41" spans="1:13" x14ac:dyDescent="0.25">
      <c r="A41" s="264"/>
      <c r="B41" s="711" t="s">
        <v>764</v>
      </c>
      <c r="C41" s="17" t="s">
        <v>63</v>
      </c>
      <c r="D41" s="159">
        <f>NERACA!AA56</f>
        <v>40890865.976214975</v>
      </c>
      <c r="E41" s="38"/>
      <c r="F41" s="141"/>
      <c r="G41" s="17"/>
      <c r="H41" s="80"/>
      <c r="I41" s="375"/>
      <c r="J41" s="72"/>
    </row>
    <row r="42" spans="1:13" x14ac:dyDescent="0.25">
      <c r="A42" s="264"/>
      <c r="B42" s="154" t="s">
        <v>392</v>
      </c>
      <c r="C42" s="75" t="s">
        <v>63</v>
      </c>
      <c r="D42" s="712">
        <f>D41*90%</f>
        <v>36801779.378593482</v>
      </c>
      <c r="E42" s="38"/>
      <c r="F42" s="142"/>
      <c r="G42" s="75" t="s">
        <v>63</v>
      </c>
      <c r="H42" s="175"/>
      <c r="I42" s="375"/>
      <c r="J42" s="38"/>
      <c r="L42" s="215"/>
      <c r="M42" s="216"/>
    </row>
    <row r="43" spans="1:13" x14ac:dyDescent="0.25">
      <c r="A43" s="264"/>
      <c r="B43" s="137"/>
      <c r="C43" s="38"/>
      <c r="D43" s="38"/>
      <c r="E43" s="38"/>
      <c r="F43" s="137"/>
      <c r="G43" s="38"/>
      <c r="H43" s="38"/>
      <c r="I43" s="375"/>
      <c r="J43" s="38"/>
      <c r="L43" s="215"/>
    </row>
    <row r="44" spans="1:13" x14ac:dyDescent="0.25">
      <c r="A44" s="264"/>
      <c r="B44" s="137"/>
      <c r="C44" s="38"/>
      <c r="D44" s="38"/>
      <c r="E44" s="38"/>
      <c r="F44" s="137"/>
      <c r="G44" s="38"/>
      <c r="H44" s="38"/>
      <c r="I44" s="380"/>
      <c r="J44" s="44"/>
      <c r="L44" s="215"/>
    </row>
    <row r="45" spans="1:13" x14ac:dyDescent="0.25">
      <c r="A45" s="264"/>
      <c r="B45" s="143"/>
      <c r="C45" s="44"/>
      <c r="D45" s="76"/>
      <c r="E45" s="44"/>
      <c r="F45" s="146"/>
      <c r="G45" s="44"/>
      <c r="H45" s="44"/>
      <c r="I45" s="375"/>
      <c r="J45" s="38"/>
    </row>
    <row r="46" spans="1:13" x14ac:dyDescent="0.25">
      <c r="A46" s="264"/>
      <c r="B46" s="143"/>
      <c r="C46" s="38"/>
      <c r="D46" s="77"/>
      <c r="E46" s="38"/>
      <c r="F46" s="147"/>
      <c r="G46" s="38"/>
      <c r="H46" s="38"/>
      <c r="I46" s="375"/>
      <c r="J46" s="38"/>
    </row>
    <row r="47" spans="1:13" x14ac:dyDescent="0.25">
      <c r="A47" s="264"/>
      <c r="B47" s="143"/>
      <c r="C47" s="38"/>
      <c r="D47" s="77"/>
      <c r="E47" s="38"/>
      <c r="F47" s="147"/>
      <c r="G47" s="38"/>
      <c r="H47" s="38"/>
      <c r="I47" s="375"/>
      <c r="J47" s="38"/>
    </row>
    <row r="48" spans="1:13" x14ac:dyDescent="0.25">
      <c r="A48" s="264"/>
      <c r="B48" s="143"/>
      <c r="C48" s="38"/>
      <c r="D48" s="77"/>
      <c r="E48" s="38"/>
      <c r="F48" s="147"/>
      <c r="G48" s="38"/>
      <c r="H48" s="38"/>
      <c r="I48" s="380"/>
      <c r="J48" s="3"/>
    </row>
    <row r="49" spans="1:9" x14ac:dyDescent="0.25">
      <c r="A49" s="264"/>
      <c r="B49" s="143"/>
      <c r="C49" s="38"/>
      <c r="D49" s="78" t="s">
        <v>206</v>
      </c>
      <c r="E49" s="35"/>
      <c r="F49" s="148" t="s">
        <v>206</v>
      </c>
      <c r="G49" s="44"/>
      <c r="H49" s="44"/>
      <c r="I49" s="263"/>
    </row>
    <row r="50" spans="1:9" x14ac:dyDescent="0.25">
      <c r="A50" s="264"/>
      <c r="B50" s="143"/>
      <c r="C50" s="11"/>
      <c r="D50" s="53"/>
      <c r="E50" s="11"/>
      <c r="F50" s="149"/>
      <c r="G50" s="11"/>
      <c r="H50" s="11"/>
      <c r="I50" s="263"/>
    </row>
    <row r="51" spans="1:9" x14ac:dyDescent="0.25">
      <c r="A51" s="264"/>
      <c r="B51" s="143"/>
      <c r="C51" s="11"/>
      <c r="D51" s="53"/>
      <c r="E51" s="11"/>
      <c r="F51" s="149"/>
      <c r="G51" s="11"/>
      <c r="H51" s="11"/>
      <c r="I51" s="263"/>
    </row>
    <row r="52" spans="1:9" x14ac:dyDescent="0.25">
      <c r="A52" s="264"/>
      <c r="B52" s="143"/>
      <c r="C52" s="11"/>
      <c r="D52" s="53"/>
      <c r="E52" s="11"/>
      <c r="F52" s="149"/>
      <c r="G52" s="11"/>
      <c r="H52" s="11"/>
      <c r="I52" s="263"/>
    </row>
    <row r="53" spans="1:9" x14ac:dyDescent="0.25">
      <c r="A53" s="264"/>
      <c r="B53" s="143"/>
      <c r="C53" s="11"/>
      <c r="D53" s="54"/>
      <c r="E53" s="11"/>
      <c r="F53" s="150"/>
      <c r="G53" s="11"/>
      <c r="H53" s="11"/>
      <c r="I53" s="263"/>
    </row>
    <row r="54" spans="1:9" x14ac:dyDescent="0.25">
      <c r="A54" s="264"/>
      <c r="B54" s="143"/>
      <c r="C54" s="11"/>
      <c r="D54" s="11"/>
      <c r="E54" s="11"/>
      <c r="F54" s="143"/>
      <c r="G54" s="11"/>
      <c r="H54" s="11"/>
      <c r="I54" s="263"/>
    </row>
    <row r="55" spans="1:9" ht="14.25" thickBot="1" x14ac:dyDescent="0.3">
      <c r="A55" s="301"/>
      <c r="B55" s="381"/>
      <c r="C55" s="267"/>
      <c r="D55" s="267"/>
      <c r="E55" s="267"/>
      <c r="F55" s="381"/>
      <c r="G55" s="267"/>
      <c r="H55" s="267"/>
      <c r="I55" s="265"/>
    </row>
  </sheetData>
  <mergeCells count="7">
    <mergeCell ref="B19:H19"/>
    <mergeCell ref="B25:H25"/>
    <mergeCell ref="B2:H2"/>
    <mergeCell ref="B4:H4"/>
    <mergeCell ref="B13:D13"/>
    <mergeCell ref="F13:H13"/>
    <mergeCell ref="D10:D11"/>
  </mergeCells>
  <pageMargins left="0.25" right="0" top="0" bottom="0" header="0.31496062992126" footer="0.31496062992126"/>
  <pageSetup paperSize="10000" scale="82" orientation="portrait" horizontalDpi="4294967293" verticalDpi="18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409DF-325C-44C7-9DDF-01954F48E56D}">
  <sheetPr>
    <pageSetUpPr fitToPage="1"/>
  </sheetPr>
  <dimension ref="A1:J79"/>
  <sheetViews>
    <sheetView topLeftCell="A4" workbookViewId="0">
      <selection activeCell="G16" sqref="G16"/>
    </sheetView>
  </sheetViews>
  <sheetFormatPr defaultRowHeight="15" x14ac:dyDescent="0.25"/>
  <cols>
    <col min="1" max="1" width="2.7109375" customWidth="1"/>
    <col min="2" max="2" width="23.7109375" bestFit="1" customWidth="1"/>
    <col min="3" max="3" width="2.7109375" customWidth="1"/>
    <col min="4" max="4" width="33.140625" customWidth="1"/>
    <col min="5" max="5" width="3.140625" customWidth="1"/>
    <col min="6" max="6" width="2.7109375" customWidth="1"/>
    <col min="7" max="7" width="26.28515625" customWidth="1"/>
    <col min="8" max="8" width="4.85546875" bestFit="1" customWidth="1"/>
    <col min="9" max="9" width="33.42578125" customWidth="1"/>
    <col min="10" max="10" width="2.7109375" customWidth="1"/>
  </cols>
  <sheetData>
    <row r="1" spans="1:10" x14ac:dyDescent="0.25">
      <c r="A1" s="354"/>
      <c r="B1" s="291"/>
      <c r="C1" s="291"/>
      <c r="D1" s="291"/>
      <c r="E1" s="291"/>
      <c r="F1" s="292"/>
      <c r="G1" s="291"/>
      <c r="H1" s="291"/>
      <c r="I1" s="291"/>
      <c r="J1" s="266"/>
    </row>
    <row r="2" spans="1:10" x14ac:dyDescent="0.25">
      <c r="A2" s="264"/>
      <c r="B2" s="365" t="s">
        <v>133</v>
      </c>
      <c r="C2" s="366" t="s">
        <v>63</v>
      </c>
      <c r="D2" s="834" t="str">
        <f>'DATA AWAL NASABAH'!B2</f>
        <v>DYAH RETNO SULISTYOWATI</v>
      </c>
      <c r="E2" s="834"/>
      <c r="F2" s="834"/>
      <c r="G2" s="261"/>
      <c r="H2" s="261"/>
      <c r="I2" s="11"/>
      <c r="J2" s="263"/>
    </row>
    <row r="3" spans="1:10" x14ac:dyDescent="0.25">
      <c r="A3" s="264"/>
      <c r="B3" s="365" t="s">
        <v>129</v>
      </c>
      <c r="C3" s="366" t="s">
        <v>63</v>
      </c>
      <c r="D3" s="367" t="str">
        <f>'DATA AWAL NASABAH'!B10</f>
        <v>TOSARI REJO 001/006 JARAKSARI WONOSOBO</v>
      </c>
      <c r="E3" s="367"/>
      <c r="F3" s="367"/>
      <c r="G3" s="261"/>
      <c r="H3" s="261"/>
      <c r="I3" s="11"/>
      <c r="J3" s="263"/>
    </row>
    <row r="4" spans="1:10" x14ac:dyDescent="0.25">
      <c r="A4" s="264"/>
      <c r="B4" s="365" t="s">
        <v>393</v>
      </c>
      <c r="C4" s="366" t="s">
        <v>63</v>
      </c>
      <c r="D4" s="834" t="str">
        <f>'DATA AWAL NASABAH'!B4</f>
        <v>PNS</v>
      </c>
      <c r="E4" s="834"/>
      <c r="F4" s="834"/>
      <c r="G4" s="261"/>
      <c r="H4" s="261"/>
      <c r="I4" s="11"/>
      <c r="J4" s="263"/>
    </row>
    <row r="5" spans="1:10" ht="15.75" thickBot="1" x14ac:dyDescent="0.3">
      <c r="A5" s="301"/>
      <c r="B5" s="267"/>
      <c r="C5" s="267"/>
      <c r="D5" s="267"/>
      <c r="E5" s="267"/>
      <c r="F5" s="268"/>
      <c r="G5" s="267"/>
      <c r="H5" s="267"/>
      <c r="I5" s="267"/>
      <c r="J5" s="265"/>
    </row>
    <row r="6" spans="1:10" ht="18" x14ac:dyDescent="0.25">
      <c r="A6" s="264"/>
      <c r="B6" s="835" t="s">
        <v>207</v>
      </c>
      <c r="C6" s="835"/>
      <c r="D6" s="835"/>
      <c r="E6" s="835"/>
      <c r="F6" s="835"/>
      <c r="G6" s="835"/>
      <c r="H6" s="835"/>
      <c r="I6" s="835"/>
      <c r="J6" s="263"/>
    </row>
    <row r="7" spans="1:10" ht="15" customHeight="1" x14ac:dyDescent="0.25">
      <c r="A7" s="264"/>
      <c r="B7" s="680"/>
      <c r="C7" s="680"/>
      <c r="D7" s="680"/>
      <c r="E7" s="680"/>
      <c r="F7" s="680"/>
      <c r="G7" s="680"/>
      <c r="H7" s="680"/>
      <c r="I7" s="680"/>
      <c r="J7" s="263"/>
    </row>
    <row r="8" spans="1:10" ht="15" customHeight="1" x14ac:dyDescent="0.25">
      <c r="A8" s="264"/>
      <c r="B8" s="12"/>
      <c r="C8" s="12"/>
      <c r="D8" s="12"/>
      <c r="E8" s="12"/>
      <c r="F8" s="682"/>
      <c r="G8" s="12"/>
      <c r="H8" s="12"/>
      <c r="I8" s="12"/>
      <c r="J8" s="263"/>
    </row>
    <row r="9" spans="1:10" ht="15" customHeight="1" x14ac:dyDescent="0.25">
      <c r="A9" s="264"/>
      <c r="B9" s="17" t="s">
        <v>526</v>
      </c>
      <c r="C9" s="11"/>
      <c r="D9" s="13"/>
      <c r="E9" s="13"/>
      <c r="F9" s="91" t="s">
        <v>208</v>
      </c>
      <c r="G9" s="11"/>
      <c r="H9" s="13"/>
      <c r="I9" s="11"/>
      <c r="J9" s="263"/>
    </row>
    <row r="10" spans="1:10" ht="15" customHeight="1" x14ac:dyDescent="0.25">
      <c r="A10" s="264"/>
      <c r="B10" s="13" t="s">
        <v>138</v>
      </c>
      <c r="C10" s="13" t="s">
        <v>63</v>
      </c>
      <c r="D10" s="183">
        <f>'DATA AWAL NASABAH'!B1</f>
        <v>45986</v>
      </c>
      <c r="E10" s="84"/>
      <c r="F10" s="619" t="s">
        <v>218</v>
      </c>
      <c r="G10" s="620" t="s">
        <v>404</v>
      </c>
      <c r="H10" s="621"/>
      <c r="I10" s="622" t="s">
        <v>718</v>
      </c>
      <c r="J10" s="263"/>
    </row>
    <row r="11" spans="1:10" ht="15" customHeight="1" x14ac:dyDescent="0.25">
      <c r="A11" s="264"/>
      <c r="B11" s="13" t="s">
        <v>210</v>
      </c>
      <c r="C11" s="13" t="s">
        <v>63</v>
      </c>
      <c r="D11" s="617" t="str">
        <f>'KOMITE TEMPO'!D9</f>
        <v>SHM/NO.01798 &amp; SHM/NO.00817</v>
      </c>
      <c r="E11" s="84"/>
      <c r="F11" s="623" t="s">
        <v>366</v>
      </c>
      <c r="G11" s="87" t="s">
        <v>405</v>
      </c>
      <c r="H11" s="87"/>
      <c r="I11" s="624"/>
      <c r="J11" s="263"/>
    </row>
    <row r="12" spans="1:10" ht="15" customHeight="1" x14ac:dyDescent="0.25">
      <c r="A12" s="264"/>
      <c r="B12" s="13" t="s">
        <v>556</v>
      </c>
      <c r="C12" s="13" t="s">
        <v>63</v>
      </c>
      <c r="D12" s="90">
        <f>'KOMITE TEMPO'!D10</f>
        <v>62167000</v>
      </c>
      <c r="E12" s="84"/>
      <c r="F12" s="623" t="s">
        <v>367</v>
      </c>
      <c r="G12" s="87" t="s">
        <v>402</v>
      </c>
      <c r="H12" s="212">
        <f>D15</f>
        <v>10</v>
      </c>
      <c r="I12" s="624"/>
      <c r="J12" s="263"/>
    </row>
    <row r="13" spans="1:10" ht="15" customHeight="1" x14ac:dyDescent="0.25">
      <c r="A13" s="264"/>
      <c r="B13" s="18" t="s">
        <v>571</v>
      </c>
      <c r="C13" s="13" t="s">
        <v>63</v>
      </c>
      <c r="D13" s="90">
        <f>'KOMITE TEMPO'!D11</f>
        <v>2755400000</v>
      </c>
      <c r="E13" s="84"/>
      <c r="F13" s="625" t="s">
        <v>448</v>
      </c>
      <c r="G13" s="11" t="s">
        <v>406</v>
      </c>
      <c r="H13" s="212"/>
      <c r="I13" s="624"/>
      <c r="J13" s="263"/>
    </row>
    <row r="14" spans="1:10" ht="15" customHeight="1" x14ac:dyDescent="0.25">
      <c r="A14" s="264"/>
      <c r="B14" s="18" t="s">
        <v>572</v>
      </c>
      <c r="C14" s="13" t="s">
        <v>63</v>
      </c>
      <c r="D14" s="90">
        <f>'KOMITE TEMPO'!D12</f>
        <v>2066550000</v>
      </c>
      <c r="E14" s="84"/>
      <c r="F14" s="746"/>
      <c r="G14" s="747"/>
      <c r="H14" s="212"/>
      <c r="I14" s="624"/>
      <c r="J14" s="263"/>
    </row>
    <row r="15" spans="1:10" ht="15" customHeight="1" x14ac:dyDescent="0.25">
      <c r="A15" s="264"/>
      <c r="B15" s="18" t="s">
        <v>211</v>
      </c>
      <c r="C15" s="13" t="s">
        <v>63</v>
      </c>
      <c r="D15" s="85">
        <f>'DATA AWAL NASABAH'!B31</f>
        <v>10</v>
      </c>
      <c r="E15" s="84"/>
      <c r="F15" s="625"/>
      <c r="G15" s="11"/>
      <c r="H15" s="11"/>
      <c r="I15" s="624"/>
      <c r="J15" s="263"/>
    </row>
    <row r="16" spans="1:10" ht="15" customHeight="1" x14ac:dyDescent="0.3">
      <c r="A16" s="264"/>
      <c r="B16" s="13" t="s">
        <v>216</v>
      </c>
      <c r="C16" s="11" t="s">
        <v>63</v>
      </c>
      <c r="D16" s="626" t="str">
        <f>'DATA AWAL NASABAH'!B29</f>
        <v>INVESTASI PEMBELIAN TANAH</v>
      </c>
      <c r="E16" s="84"/>
      <c r="F16" s="625"/>
      <c r="G16" s="11"/>
      <c r="H16" s="11"/>
      <c r="I16" s="53"/>
      <c r="J16" s="263"/>
    </row>
    <row r="17" spans="1:10" ht="15" customHeight="1" x14ac:dyDescent="0.25">
      <c r="A17" s="264"/>
      <c r="B17" s="13" t="s">
        <v>176</v>
      </c>
      <c r="C17" s="13" t="s">
        <v>63</v>
      </c>
      <c r="D17" s="396">
        <f>'DATA AWAL NASABAH'!B18</f>
        <v>2000000000</v>
      </c>
      <c r="E17" s="86"/>
      <c r="F17" s="623"/>
      <c r="G17" s="87"/>
      <c r="H17" s="87"/>
      <c r="I17" s="624"/>
      <c r="J17" s="263"/>
    </row>
    <row r="18" spans="1:10" ht="15" customHeight="1" x14ac:dyDescent="0.25">
      <c r="A18" s="264"/>
      <c r="B18" s="13" t="s">
        <v>177</v>
      </c>
      <c r="C18" s="13" t="s">
        <v>63</v>
      </c>
      <c r="D18" s="397">
        <f>'DATA AWAL NASABAH'!B19</f>
        <v>12</v>
      </c>
      <c r="E18" s="748">
        <v>0</v>
      </c>
      <c r="F18" s="623"/>
      <c r="G18" s="87"/>
      <c r="H18" s="87"/>
      <c r="I18" s="624"/>
      <c r="J18" s="263"/>
    </row>
    <row r="19" spans="1:10" ht="15" customHeight="1" x14ac:dyDescent="0.25">
      <c r="A19" s="264"/>
      <c r="B19" s="166" t="s">
        <v>212</v>
      </c>
      <c r="C19" s="166" t="s">
        <v>63</v>
      </c>
      <c r="D19" s="172" t="s">
        <v>674</v>
      </c>
      <c r="E19" s="86"/>
      <c r="F19" s="623"/>
      <c r="G19" s="87"/>
      <c r="H19" s="87"/>
      <c r="I19" s="622" t="str">
        <f>'DATA AWAL NASABAH'!B30</f>
        <v>ADRIAN WAHYU P</v>
      </c>
      <c r="J19" s="263"/>
    </row>
    <row r="20" spans="1:10" ht="15" customHeight="1" x14ac:dyDescent="0.25">
      <c r="A20" s="264"/>
      <c r="B20" s="397" t="s">
        <v>369</v>
      </c>
      <c r="C20" s="397" t="s">
        <v>63</v>
      </c>
      <c r="D20" s="398" t="s">
        <v>698</v>
      </c>
      <c r="E20" s="86"/>
      <c r="F20" s="627"/>
      <c r="G20" s="628"/>
      <c r="H20" s="628"/>
      <c r="I20" s="629" t="s">
        <v>510</v>
      </c>
      <c r="J20" s="263"/>
    </row>
    <row r="21" spans="1:10" ht="15" customHeight="1" x14ac:dyDescent="0.25">
      <c r="A21" s="264"/>
      <c r="B21" s="167" t="s">
        <v>699</v>
      </c>
      <c r="C21" s="166" t="s">
        <v>63</v>
      </c>
      <c r="D21" s="172">
        <f>D17*1.5%</f>
        <v>30000000</v>
      </c>
      <c r="E21" s="86"/>
      <c r="F21" s="630"/>
      <c r="G21" s="87"/>
      <c r="H21" s="87"/>
      <c r="I21" s="87"/>
      <c r="J21" s="263"/>
    </row>
    <row r="22" spans="1:10" ht="15" customHeight="1" x14ac:dyDescent="0.25">
      <c r="A22" s="264"/>
      <c r="E22" s="89"/>
      <c r="F22" s="630"/>
      <c r="G22" s="87"/>
      <c r="H22" s="87"/>
      <c r="I22" s="87"/>
      <c r="J22" s="263"/>
    </row>
    <row r="23" spans="1:10" ht="15" customHeight="1" x14ac:dyDescent="0.25">
      <c r="A23" s="264"/>
      <c r="E23" s="86"/>
      <c r="F23" s="630"/>
      <c r="G23" s="87"/>
      <c r="H23" s="87"/>
      <c r="I23" s="87"/>
      <c r="J23" s="263"/>
    </row>
    <row r="24" spans="1:10" ht="15" customHeight="1" x14ac:dyDescent="0.25">
      <c r="A24" s="264"/>
      <c r="B24" s="167" t="s">
        <v>523</v>
      </c>
      <c r="C24" s="168"/>
      <c r="D24" s="169"/>
      <c r="E24" s="86"/>
      <c r="F24" s="632"/>
      <c r="G24" s="91"/>
      <c r="H24" s="12"/>
      <c r="I24" s="633"/>
      <c r="J24" s="263"/>
    </row>
    <row r="25" spans="1:10" ht="13.5" customHeight="1" x14ac:dyDescent="0.25">
      <c r="A25" s="264"/>
      <c r="B25" s="634"/>
      <c r="C25" s="635"/>
      <c r="D25" s="636"/>
      <c r="E25" s="637"/>
      <c r="F25" s="638"/>
      <c r="G25" s="639"/>
      <c r="H25" s="640"/>
      <c r="I25" s="641" t="s">
        <v>4</v>
      </c>
      <c r="J25" s="263"/>
    </row>
    <row r="26" spans="1:10" ht="13.5" customHeight="1" x14ac:dyDescent="0.25">
      <c r="A26" s="264"/>
      <c r="B26" s="642"/>
      <c r="C26" s="168"/>
      <c r="D26" s="169"/>
      <c r="E26" s="86"/>
      <c r="F26" s="632"/>
      <c r="G26" s="91"/>
      <c r="H26" s="12"/>
      <c r="I26" s="643"/>
      <c r="J26" s="263"/>
    </row>
    <row r="27" spans="1:10" ht="13.5" customHeight="1" x14ac:dyDescent="0.25">
      <c r="A27" s="264"/>
      <c r="B27" s="642"/>
      <c r="C27" s="168"/>
      <c r="D27" s="169"/>
      <c r="E27" s="86"/>
      <c r="F27" s="632"/>
      <c r="G27" s="91"/>
      <c r="H27" s="12"/>
      <c r="I27" s="643"/>
      <c r="J27" s="263"/>
    </row>
    <row r="28" spans="1:10" ht="13.5" customHeight="1" x14ac:dyDescent="0.25">
      <c r="A28" s="264"/>
      <c r="B28" s="642"/>
      <c r="C28" s="168"/>
      <c r="D28" s="169"/>
      <c r="E28" s="86"/>
      <c r="F28" s="632"/>
      <c r="G28" s="91"/>
      <c r="H28" s="12"/>
      <c r="I28" s="644"/>
      <c r="J28" s="263"/>
    </row>
    <row r="29" spans="1:10" ht="13.5" customHeight="1" x14ac:dyDescent="0.25">
      <c r="A29" s="264"/>
      <c r="B29" s="642"/>
      <c r="C29" s="168"/>
      <c r="D29" s="169"/>
      <c r="E29" s="86"/>
      <c r="F29" s="632"/>
      <c r="G29" s="91"/>
      <c r="H29" s="12"/>
      <c r="I29" s="644"/>
      <c r="J29" s="263"/>
    </row>
    <row r="30" spans="1:10" ht="13.5" customHeight="1" x14ac:dyDescent="0.25">
      <c r="A30" s="264"/>
      <c r="B30" s="642"/>
      <c r="C30" s="168"/>
      <c r="D30" s="169"/>
      <c r="E30" s="86"/>
      <c r="F30" s="632"/>
      <c r="G30" s="91"/>
      <c r="H30" s="12"/>
      <c r="I30" s="817" t="s">
        <v>745</v>
      </c>
      <c r="J30" s="263"/>
    </row>
    <row r="31" spans="1:10" ht="13.5" customHeight="1" x14ac:dyDescent="0.25">
      <c r="A31" s="264"/>
      <c r="B31" s="645"/>
      <c r="C31" s="646"/>
      <c r="D31" s="647"/>
      <c r="E31" s="648"/>
      <c r="F31" s="649"/>
      <c r="G31" s="650"/>
      <c r="H31" s="651"/>
      <c r="I31" s="207" t="s">
        <v>582</v>
      </c>
      <c r="J31" s="263"/>
    </row>
    <row r="32" spans="1:10" ht="24.95" customHeight="1" x14ac:dyDescent="0.25">
      <c r="A32" s="264"/>
      <c r="B32" s="167" t="s">
        <v>523</v>
      </c>
      <c r="C32" s="168"/>
      <c r="D32" s="169"/>
      <c r="E32" s="86"/>
      <c r="F32" s="632"/>
      <c r="G32" s="91"/>
      <c r="H32" s="12"/>
      <c r="I32" s="633"/>
      <c r="J32" s="263"/>
    </row>
    <row r="33" spans="1:10" x14ac:dyDescent="0.25">
      <c r="A33" s="264"/>
      <c r="B33" s="634"/>
      <c r="C33" s="635"/>
      <c r="D33" s="636"/>
      <c r="E33" s="637"/>
      <c r="F33" s="638"/>
      <c r="G33" s="639"/>
      <c r="H33" s="640"/>
      <c r="I33" s="641" t="s">
        <v>4</v>
      </c>
      <c r="J33" s="263"/>
    </row>
    <row r="34" spans="1:10" x14ac:dyDescent="0.25">
      <c r="A34" s="264"/>
      <c r="B34" s="642"/>
      <c r="C34" s="168"/>
      <c r="D34" s="169"/>
      <c r="E34" s="86"/>
      <c r="F34" s="632"/>
      <c r="G34" s="91"/>
      <c r="H34" s="12"/>
      <c r="I34" s="643"/>
      <c r="J34" s="263"/>
    </row>
    <row r="35" spans="1:10" x14ac:dyDescent="0.25">
      <c r="A35" s="264"/>
      <c r="B35" s="642"/>
      <c r="C35" s="168"/>
      <c r="D35" s="169"/>
      <c r="E35" s="86"/>
      <c r="F35" s="632"/>
      <c r="G35" s="91"/>
      <c r="H35" s="12"/>
      <c r="I35" s="643"/>
      <c r="J35" s="263"/>
    </row>
    <row r="36" spans="1:10" x14ac:dyDescent="0.25">
      <c r="A36" s="264"/>
      <c r="B36" s="642"/>
      <c r="C36" s="168"/>
      <c r="D36" s="169"/>
      <c r="E36" s="86"/>
      <c r="F36" s="632"/>
      <c r="G36" s="91"/>
      <c r="H36" s="12"/>
      <c r="I36" s="644"/>
      <c r="J36" s="263"/>
    </row>
    <row r="37" spans="1:10" x14ac:dyDescent="0.25">
      <c r="A37" s="264"/>
      <c r="B37" s="642"/>
      <c r="C37" s="168"/>
      <c r="D37" s="169"/>
      <c r="E37" s="86"/>
      <c r="F37" s="632"/>
      <c r="G37" s="91"/>
      <c r="H37" s="12"/>
      <c r="I37" s="644"/>
      <c r="J37" s="263"/>
    </row>
    <row r="38" spans="1:10" x14ac:dyDescent="0.25">
      <c r="A38" s="264"/>
      <c r="B38" s="642"/>
      <c r="C38" s="168"/>
      <c r="D38" s="169"/>
      <c r="E38" s="86"/>
      <c r="F38" s="632"/>
      <c r="G38" s="91"/>
      <c r="H38" s="12"/>
      <c r="I38" s="736" t="s">
        <v>746</v>
      </c>
      <c r="J38" s="263"/>
    </row>
    <row r="39" spans="1:10" x14ac:dyDescent="0.25">
      <c r="A39" s="264"/>
      <c r="B39" s="645"/>
      <c r="C39" s="646"/>
      <c r="D39" s="647"/>
      <c r="E39" s="648"/>
      <c r="F39" s="649"/>
      <c r="G39" s="650"/>
      <c r="H39" s="651"/>
      <c r="I39" s="207" t="s">
        <v>715</v>
      </c>
      <c r="J39" s="263"/>
    </row>
    <row r="40" spans="1:10" ht="24.95" customHeight="1" x14ac:dyDescent="0.25">
      <c r="A40" s="264"/>
      <c r="B40" s="91" t="s">
        <v>208</v>
      </c>
      <c r="C40" s="168"/>
      <c r="D40" s="169"/>
      <c r="E40" s="86"/>
      <c r="F40" s="632"/>
      <c r="G40" s="91"/>
      <c r="H40" s="12"/>
      <c r="I40" s="633"/>
      <c r="J40" s="263"/>
    </row>
    <row r="41" spans="1:10" x14ac:dyDescent="0.25">
      <c r="A41" s="264"/>
      <c r="B41" s="634"/>
      <c r="C41" s="635"/>
      <c r="D41" s="636"/>
      <c r="E41" s="637"/>
      <c r="F41" s="638"/>
      <c r="G41" s="639"/>
      <c r="H41" s="640"/>
      <c r="I41" s="181" t="s">
        <v>4</v>
      </c>
      <c r="J41" s="263"/>
    </row>
    <row r="42" spans="1:10" x14ac:dyDescent="0.25">
      <c r="A42" s="264"/>
      <c r="B42" s="642"/>
      <c r="C42" s="168"/>
      <c r="D42" s="169"/>
      <c r="E42" s="86"/>
      <c r="F42" s="632"/>
      <c r="G42" s="91"/>
      <c r="H42" s="12"/>
      <c r="I42" s="652"/>
      <c r="J42" s="263"/>
    </row>
    <row r="43" spans="1:10" x14ac:dyDescent="0.25">
      <c r="A43" s="264"/>
      <c r="B43" s="642"/>
      <c r="C43" s="168"/>
      <c r="D43" s="169"/>
      <c r="E43" s="86"/>
      <c r="F43" s="632"/>
      <c r="G43" s="91"/>
      <c r="H43" s="12"/>
      <c r="I43" s="652"/>
      <c r="J43" s="263"/>
    </row>
    <row r="44" spans="1:10" x14ac:dyDescent="0.25">
      <c r="A44" s="264"/>
      <c r="B44" s="642"/>
      <c r="C44" s="168"/>
      <c r="D44" s="169"/>
      <c r="E44" s="86"/>
      <c r="F44" s="632"/>
      <c r="G44" s="91"/>
      <c r="H44" s="12"/>
      <c r="I44" s="644"/>
      <c r="J44" s="263"/>
    </row>
    <row r="45" spans="1:10" x14ac:dyDescent="0.25">
      <c r="A45" s="264"/>
      <c r="B45" s="642"/>
      <c r="C45" s="168"/>
      <c r="D45" s="169"/>
      <c r="E45" s="86"/>
      <c r="F45" s="632"/>
      <c r="G45" s="91"/>
      <c r="H45" s="12"/>
      <c r="I45" s="644"/>
      <c r="J45" s="263"/>
    </row>
    <row r="46" spans="1:10" x14ac:dyDescent="0.25">
      <c r="A46" s="264"/>
      <c r="B46" s="642"/>
      <c r="C46" s="168"/>
      <c r="D46" s="169"/>
      <c r="E46" s="86"/>
      <c r="F46" s="632"/>
      <c r="G46" s="91"/>
      <c r="H46" s="12"/>
      <c r="I46" s="736" t="s">
        <v>570</v>
      </c>
      <c r="J46" s="263"/>
    </row>
    <row r="47" spans="1:10" x14ac:dyDescent="0.25">
      <c r="A47" s="264"/>
      <c r="B47" s="645"/>
      <c r="C47" s="646"/>
      <c r="D47" s="647"/>
      <c r="E47" s="648"/>
      <c r="F47" s="649"/>
      <c r="G47" s="650"/>
      <c r="H47" s="651"/>
      <c r="I47" s="36" t="s">
        <v>751</v>
      </c>
      <c r="J47" s="263"/>
    </row>
    <row r="48" spans="1:10" ht="19.5" customHeight="1" x14ac:dyDescent="0.25">
      <c r="A48" s="264"/>
      <c r="B48" s="12" t="s">
        <v>158</v>
      </c>
      <c r="C48" s="12" t="s">
        <v>63</v>
      </c>
      <c r="D48" s="11" t="s">
        <v>583</v>
      </c>
      <c r="E48" s="11"/>
      <c r="F48" s="91"/>
      <c r="G48" s="11"/>
      <c r="H48" s="13"/>
      <c r="I48" s="11"/>
      <c r="J48" s="263"/>
    </row>
    <row r="49" spans="1:10" ht="22.5" customHeight="1" x14ac:dyDescent="0.25">
      <c r="A49" s="264"/>
      <c r="B49" s="13" t="s">
        <v>138</v>
      </c>
      <c r="C49" s="13" t="s">
        <v>63</v>
      </c>
      <c r="D49" s="13"/>
      <c r="E49" s="13"/>
      <c r="F49" s="630"/>
      <c r="G49" s="655"/>
      <c r="H49" s="87"/>
      <c r="I49" s="87"/>
      <c r="J49" s="263"/>
    </row>
    <row r="50" spans="1:10" ht="21.75" customHeight="1" x14ac:dyDescent="0.25">
      <c r="A50" s="264"/>
      <c r="B50" s="13" t="s">
        <v>210</v>
      </c>
      <c r="C50" s="13" t="s">
        <v>63</v>
      </c>
      <c r="D50" s="85"/>
      <c r="E50" s="86"/>
      <c r="F50" s="630"/>
      <c r="G50" s="87"/>
      <c r="H50" s="87"/>
      <c r="I50" s="87"/>
      <c r="J50" s="263"/>
    </row>
    <row r="51" spans="1:10" ht="22.5" customHeight="1" x14ac:dyDescent="0.25">
      <c r="A51" s="264"/>
      <c r="B51" s="13" t="s">
        <v>556</v>
      </c>
      <c r="C51" s="13" t="s">
        <v>63</v>
      </c>
      <c r="D51" s="85"/>
      <c r="E51" s="86"/>
      <c r="F51" s="630"/>
      <c r="G51" s="87"/>
      <c r="H51" s="87"/>
      <c r="I51" s="87"/>
      <c r="J51" s="263"/>
    </row>
    <row r="52" spans="1:10" ht="21.75" customHeight="1" x14ac:dyDescent="0.25">
      <c r="A52" s="264"/>
      <c r="B52" s="18" t="s">
        <v>200</v>
      </c>
      <c r="C52" s="13" t="s">
        <v>63</v>
      </c>
      <c r="D52" s="656"/>
      <c r="E52" s="657"/>
      <c r="F52" s="630"/>
      <c r="G52" s="87"/>
      <c r="H52" s="87"/>
      <c r="I52" s="87"/>
      <c r="J52" s="263"/>
    </row>
    <row r="53" spans="1:10" ht="21.75" customHeight="1" x14ac:dyDescent="0.25">
      <c r="A53" s="264"/>
      <c r="B53" s="18" t="s">
        <v>572</v>
      </c>
      <c r="C53" s="13" t="s">
        <v>63</v>
      </c>
      <c r="D53" s="656"/>
      <c r="E53" s="657"/>
      <c r="F53" s="630"/>
      <c r="G53" s="87"/>
      <c r="H53" s="87"/>
      <c r="I53" s="87"/>
      <c r="J53" s="263"/>
    </row>
    <row r="54" spans="1:10" ht="21.75" customHeight="1" x14ac:dyDescent="0.25">
      <c r="A54" s="264"/>
      <c r="B54" s="18" t="s">
        <v>211</v>
      </c>
      <c r="C54" s="13" t="s">
        <v>63</v>
      </c>
      <c r="D54" s="85"/>
      <c r="E54" s="86"/>
      <c r="F54" s="630"/>
      <c r="G54" s="87"/>
      <c r="H54" s="87"/>
      <c r="I54" s="87"/>
      <c r="J54" s="263"/>
    </row>
    <row r="55" spans="1:10" ht="23.25" customHeight="1" x14ac:dyDescent="0.25">
      <c r="A55" s="264"/>
      <c r="B55" s="13" t="s">
        <v>216</v>
      </c>
      <c r="C55" s="11" t="s">
        <v>63</v>
      </c>
      <c r="D55" s="85"/>
      <c r="E55" s="86"/>
      <c r="F55" s="630"/>
      <c r="G55" s="87"/>
      <c r="H55" s="87"/>
      <c r="I55" s="87"/>
      <c r="J55" s="263"/>
    </row>
    <row r="56" spans="1:10" ht="21" customHeight="1" x14ac:dyDescent="0.25">
      <c r="A56" s="264"/>
      <c r="B56" s="13" t="s">
        <v>176</v>
      </c>
      <c r="C56" s="13" t="s">
        <v>63</v>
      </c>
      <c r="D56" s="85"/>
      <c r="E56" s="86"/>
      <c r="F56" s="630"/>
      <c r="G56" s="87"/>
      <c r="H56" s="87"/>
      <c r="I56" s="87"/>
      <c r="J56" s="263"/>
    </row>
    <row r="57" spans="1:10" ht="24" customHeight="1" x14ac:dyDescent="0.25">
      <c r="A57" s="264"/>
      <c r="B57" s="13" t="s">
        <v>177</v>
      </c>
      <c r="C57" s="13" t="s">
        <v>63</v>
      </c>
      <c r="D57" s="85"/>
      <c r="E57" s="86"/>
      <c r="F57" s="630"/>
      <c r="G57" s="87"/>
      <c r="H57" s="87"/>
      <c r="I57" s="87"/>
      <c r="J57" s="263"/>
    </row>
    <row r="58" spans="1:10" ht="22.5" customHeight="1" x14ac:dyDescent="0.25">
      <c r="A58" s="264"/>
      <c r="B58" s="166" t="s">
        <v>212</v>
      </c>
      <c r="C58" s="166" t="s">
        <v>63</v>
      </c>
      <c r="D58" s="85"/>
      <c r="E58" s="658"/>
      <c r="F58" s="630"/>
      <c r="G58" s="87"/>
      <c r="H58" s="87"/>
      <c r="I58" s="87"/>
      <c r="J58" s="263"/>
    </row>
    <row r="59" spans="1:10" ht="21.75" customHeight="1" x14ac:dyDescent="0.25">
      <c r="A59" s="264"/>
      <c r="B59" s="397" t="s">
        <v>369</v>
      </c>
      <c r="C59" s="166" t="s">
        <v>63</v>
      </c>
      <c r="D59" s="85"/>
      <c r="E59" s="658"/>
      <c r="F59" s="630"/>
      <c r="G59" s="87"/>
      <c r="H59" s="87"/>
      <c r="I59" s="87"/>
      <c r="J59" s="263"/>
    </row>
    <row r="60" spans="1:10" ht="22.5" customHeight="1" x14ac:dyDescent="0.25">
      <c r="A60" s="264"/>
      <c r="B60" s="167" t="str">
        <f>B21</f>
        <v>Maksimal Angsuran</v>
      </c>
      <c r="C60" s="166" t="s">
        <v>63</v>
      </c>
      <c r="D60" s="659"/>
      <c r="E60" s="11"/>
      <c r="F60" s="429"/>
      <c r="G60" s="11"/>
      <c r="H60" s="11"/>
      <c r="I60" s="20"/>
      <c r="J60" s="263"/>
    </row>
    <row r="61" spans="1:10" x14ac:dyDescent="0.25">
      <c r="A61" s="264"/>
      <c r="B61" s="167"/>
      <c r="C61" s="166"/>
      <c r="D61" s="659"/>
      <c r="E61" s="11"/>
      <c r="F61" s="429"/>
      <c r="G61" s="11"/>
      <c r="H61" s="11"/>
      <c r="I61" s="20"/>
      <c r="J61" s="263"/>
    </row>
    <row r="62" spans="1:10" x14ac:dyDescent="0.25">
      <c r="A62" s="264"/>
      <c r="B62" s="91" t="s">
        <v>208</v>
      </c>
      <c r="C62" s="166"/>
      <c r="D62" s="659"/>
      <c r="E62" s="11"/>
      <c r="F62" s="429"/>
      <c r="G62" s="11"/>
      <c r="H62" s="11"/>
      <c r="I62" s="20"/>
      <c r="J62" s="263"/>
    </row>
    <row r="63" spans="1:10" x14ac:dyDescent="0.25">
      <c r="A63" s="264"/>
      <c r="B63" s="634"/>
      <c r="C63" s="660"/>
      <c r="D63" s="661"/>
      <c r="E63" s="662"/>
      <c r="F63" s="663"/>
      <c r="G63" s="662"/>
      <c r="H63" s="662"/>
      <c r="I63" s="181" t="s">
        <v>4</v>
      </c>
      <c r="J63" s="263"/>
    </row>
    <row r="64" spans="1:10" x14ac:dyDescent="0.25">
      <c r="A64" s="264"/>
      <c r="B64" s="642"/>
      <c r="C64" s="166"/>
      <c r="D64" s="659"/>
      <c r="E64" s="11"/>
      <c r="F64" s="429"/>
      <c r="G64" s="11"/>
      <c r="H64" s="11"/>
      <c r="I64" s="664"/>
      <c r="J64" s="263"/>
    </row>
    <row r="65" spans="1:10" x14ac:dyDescent="0.25">
      <c r="A65" s="264"/>
      <c r="B65" s="642"/>
      <c r="C65" s="166"/>
      <c r="D65" s="659"/>
      <c r="E65" s="11"/>
      <c r="F65" s="429"/>
      <c r="G65" s="11"/>
      <c r="H65" s="11"/>
      <c r="I65" s="664"/>
      <c r="J65" s="263"/>
    </row>
    <row r="66" spans="1:10" x14ac:dyDescent="0.25">
      <c r="A66" s="264"/>
      <c r="B66" s="642"/>
      <c r="C66" s="166"/>
      <c r="D66" s="659"/>
      <c r="E66" s="11"/>
      <c r="F66" s="429"/>
      <c r="G66" s="11"/>
      <c r="H66" s="11"/>
      <c r="I66" s="664"/>
      <c r="J66" s="263"/>
    </row>
    <row r="67" spans="1:10" x14ac:dyDescent="0.25">
      <c r="A67" s="264"/>
      <c r="B67" s="642"/>
      <c r="C67" s="166"/>
      <c r="D67" s="659"/>
      <c r="E67" s="11"/>
      <c r="F67" s="429"/>
      <c r="G67" s="11"/>
      <c r="H67" s="11"/>
      <c r="I67" s="664"/>
      <c r="J67" s="263"/>
    </row>
    <row r="68" spans="1:10" x14ac:dyDescent="0.25">
      <c r="A68" s="264"/>
      <c r="B68" s="642"/>
      <c r="C68" s="166"/>
      <c r="D68" s="659"/>
      <c r="E68" s="11"/>
      <c r="F68" s="429"/>
      <c r="G68" s="11"/>
      <c r="H68" s="11"/>
      <c r="I68" s="36" t="s">
        <v>748</v>
      </c>
      <c r="J68" s="263"/>
    </row>
    <row r="69" spans="1:10" x14ac:dyDescent="0.25">
      <c r="A69" s="264"/>
      <c r="B69" s="645"/>
      <c r="C69" s="665"/>
      <c r="D69" s="666"/>
      <c r="E69" s="5"/>
      <c r="F69" s="667"/>
      <c r="G69" s="5"/>
      <c r="H69" s="5"/>
      <c r="I69" s="36" t="s">
        <v>749</v>
      </c>
      <c r="J69" s="263"/>
    </row>
    <row r="70" spans="1:10" x14ac:dyDescent="0.25">
      <c r="A70" s="264"/>
      <c r="B70" s="91" t="s">
        <v>208</v>
      </c>
      <c r="C70" s="166"/>
      <c r="D70" s="659"/>
      <c r="E70" s="11"/>
      <c r="F70" s="429"/>
      <c r="G70" s="11"/>
      <c r="H70" s="11"/>
      <c r="I70" s="20"/>
      <c r="J70" s="263"/>
    </row>
    <row r="71" spans="1:10" x14ac:dyDescent="0.25">
      <c r="A71" s="264"/>
      <c r="B71" s="634"/>
      <c r="C71" s="660"/>
      <c r="D71" s="661"/>
      <c r="E71" s="662"/>
      <c r="F71" s="663"/>
      <c r="G71" s="662"/>
      <c r="H71" s="662"/>
      <c r="I71" s="181" t="s">
        <v>554</v>
      </c>
      <c r="J71" s="263"/>
    </row>
    <row r="72" spans="1:10" x14ac:dyDescent="0.25">
      <c r="A72" s="264"/>
      <c r="B72" s="642"/>
      <c r="C72" s="166"/>
      <c r="D72" s="659"/>
      <c r="E72" s="11"/>
      <c r="F72" s="429"/>
      <c r="G72" s="11"/>
      <c r="H72" s="11"/>
      <c r="I72" s="664"/>
      <c r="J72" s="263"/>
    </row>
    <row r="73" spans="1:10" x14ac:dyDescent="0.25">
      <c r="A73" s="264"/>
      <c r="B73" s="642"/>
      <c r="C73" s="166"/>
      <c r="D73" s="659"/>
      <c r="E73" s="11"/>
      <c r="F73" s="429"/>
      <c r="G73" s="11"/>
      <c r="H73" s="11"/>
      <c r="I73" s="664"/>
      <c r="J73" s="263"/>
    </row>
    <row r="74" spans="1:10" x14ac:dyDescent="0.25">
      <c r="A74" s="264"/>
      <c r="B74" s="642"/>
      <c r="C74" s="166"/>
      <c r="D74" s="659"/>
      <c r="E74" s="11"/>
      <c r="F74" s="429"/>
      <c r="G74" s="11"/>
      <c r="H74" s="11"/>
      <c r="I74" s="664"/>
      <c r="J74" s="263"/>
    </row>
    <row r="75" spans="1:10" x14ac:dyDescent="0.25">
      <c r="A75" s="264"/>
      <c r="B75" s="642"/>
      <c r="C75" s="166"/>
      <c r="D75" s="659"/>
      <c r="E75" s="11"/>
      <c r="F75" s="429"/>
      <c r="G75" s="11"/>
      <c r="H75" s="11"/>
      <c r="I75" s="664"/>
      <c r="J75" s="263"/>
    </row>
    <row r="76" spans="1:10" x14ac:dyDescent="0.25">
      <c r="A76" s="264"/>
      <c r="B76" s="642"/>
      <c r="C76" s="166"/>
      <c r="D76" s="659"/>
      <c r="E76" s="11"/>
      <c r="F76" s="429"/>
      <c r="G76" s="11"/>
      <c r="H76" s="11"/>
      <c r="I76" s="36" t="s">
        <v>700</v>
      </c>
      <c r="J76" s="263"/>
    </row>
    <row r="77" spans="1:10" x14ac:dyDescent="0.25">
      <c r="A77" s="264"/>
      <c r="B77" s="645"/>
      <c r="C77" s="665"/>
      <c r="D77" s="666"/>
      <c r="E77" s="5"/>
      <c r="F77" s="667"/>
      <c r="G77" s="5"/>
      <c r="H77" s="5"/>
      <c r="I77" s="36" t="s">
        <v>701</v>
      </c>
      <c r="J77" s="263"/>
    </row>
    <row r="78" spans="1:10" x14ac:dyDescent="0.25">
      <c r="A78" s="264"/>
      <c r="B78" s="167"/>
      <c r="C78" s="166"/>
      <c r="D78" s="659"/>
      <c r="E78" s="11"/>
      <c r="F78" s="429"/>
      <c r="G78" s="11"/>
      <c r="H78" s="11"/>
      <c r="I78" s="742"/>
      <c r="J78" s="263"/>
    </row>
    <row r="79" spans="1:10" ht="15.75" thickBot="1" x14ac:dyDescent="0.3">
      <c r="A79" s="301"/>
      <c r="B79" s="668"/>
      <c r="C79" s="463"/>
      <c r="D79" s="681"/>
      <c r="E79" s="669"/>
      <c r="F79" s="836"/>
      <c r="G79" s="836"/>
      <c r="H79" s="669"/>
      <c r="I79" s="681"/>
      <c r="J79" s="265"/>
    </row>
  </sheetData>
  <mergeCells count="4">
    <mergeCell ref="D2:F2"/>
    <mergeCell ref="D4:F4"/>
    <mergeCell ref="B6:I6"/>
    <mergeCell ref="F79:G79"/>
  </mergeCells>
  <pageMargins left="0.53" right="0.37" top="0.34" bottom="0.4" header="0.31496062992125984" footer="0.31496062992125984"/>
  <pageSetup paperSize="10000" scale="71"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93"/>
  <sheetViews>
    <sheetView topLeftCell="A7" workbookViewId="0">
      <selection activeCell="D10" sqref="D10"/>
    </sheetView>
  </sheetViews>
  <sheetFormatPr defaultRowHeight="15" x14ac:dyDescent="0.25"/>
  <cols>
    <col min="1" max="1" width="2.7109375" customWidth="1"/>
    <col min="2" max="2" width="23.7109375" bestFit="1" customWidth="1"/>
    <col min="3" max="3" width="2.7109375" customWidth="1"/>
    <col min="4" max="4" width="30.42578125" customWidth="1"/>
    <col min="5" max="6" width="2.7109375" customWidth="1"/>
    <col min="7" max="7" width="29.5703125" customWidth="1"/>
    <col min="8" max="8" width="4.85546875" bestFit="1" customWidth="1"/>
    <col min="9" max="9" width="33.42578125" customWidth="1"/>
    <col min="10" max="10" width="2.7109375" customWidth="1"/>
  </cols>
  <sheetData>
    <row r="1" spans="1:10" x14ac:dyDescent="0.25">
      <c r="A1" s="354"/>
      <c r="B1" s="291"/>
      <c r="C1" s="291"/>
      <c r="D1" s="291"/>
      <c r="E1" s="291"/>
      <c r="F1" s="292"/>
      <c r="G1" s="291"/>
      <c r="H1" s="291"/>
      <c r="I1" s="291"/>
      <c r="J1" s="266"/>
    </row>
    <row r="2" spans="1:10" x14ac:dyDescent="0.25">
      <c r="A2" s="264"/>
      <c r="B2" s="365" t="s">
        <v>133</v>
      </c>
      <c r="C2" s="366" t="s">
        <v>63</v>
      </c>
      <c r="D2" s="834" t="str">
        <f>'DATA AWAL NASABAH'!B2</f>
        <v>DYAH RETNO SULISTYOWATI</v>
      </c>
      <c r="E2" s="834"/>
      <c r="F2" s="834"/>
      <c r="G2" s="261"/>
      <c r="H2" s="261"/>
      <c r="I2" s="11"/>
      <c r="J2" s="263"/>
    </row>
    <row r="3" spans="1:10" x14ac:dyDescent="0.25">
      <c r="A3" s="264"/>
      <c r="B3" s="365" t="s">
        <v>129</v>
      </c>
      <c r="C3" s="366" t="s">
        <v>63</v>
      </c>
      <c r="D3" s="367" t="str">
        <f>'DATA AWAL NASABAH'!B10</f>
        <v>TOSARI REJO 001/006 JARAKSARI WONOSOBO</v>
      </c>
      <c r="E3" s="367"/>
      <c r="F3" s="367"/>
      <c r="G3" s="261"/>
      <c r="H3" s="261"/>
      <c r="I3" s="11"/>
      <c r="J3" s="263"/>
    </row>
    <row r="4" spans="1:10" x14ac:dyDescent="0.25">
      <c r="A4" s="264"/>
      <c r="B4" s="365" t="s">
        <v>393</v>
      </c>
      <c r="C4" s="366" t="s">
        <v>63</v>
      </c>
      <c r="D4" s="834" t="str">
        <f>'DATA AWAL NASABAH'!B4</f>
        <v>PNS</v>
      </c>
      <c r="E4" s="834"/>
      <c r="F4" s="834"/>
      <c r="G4" s="261"/>
      <c r="H4" s="261"/>
      <c r="I4" s="11"/>
      <c r="J4" s="263"/>
    </row>
    <row r="5" spans="1:10" ht="15.75" thickBot="1" x14ac:dyDescent="0.3">
      <c r="A5" s="301"/>
      <c r="B5" s="267"/>
      <c r="C5" s="267"/>
      <c r="D5" s="267"/>
      <c r="E5" s="267"/>
      <c r="F5" s="268"/>
      <c r="G5" s="267"/>
      <c r="H5" s="267"/>
      <c r="I5" s="267"/>
      <c r="J5" s="265"/>
    </row>
    <row r="6" spans="1:10" ht="18" x14ac:dyDescent="0.25">
      <c r="A6" s="264"/>
      <c r="B6" s="835" t="s">
        <v>207</v>
      </c>
      <c r="C6" s="835"/>
      <c r="D6" s="835"/>
      <c r="E6" s="835"/>
      <c r="F6" s="835"/>
      <c r="G6" s="835"/>
      <c r="H6" s="835"/>
      <c r="I6" s="835"/>
      <c r="J6" s="263"/>
    </row>
    <row r="7" spans="1:10" ht="15" customHeight="1" x14ac:dyDescent="0.25">
      <c r="A7" s="264"/>
      <c r="B7" s="17" t="s">
        <v>526</v>
      </c>
      <c r="C7" s="11"/>
      <c r="D7" s="13"/>
      <c r="E7" s="13"/>
      <c r="F7" s="91" t="s">
        <v>208</v>
      </c>
      <c r="G7" s="11"/>
      <c r="H7" s="13"/>
      <c r="I7" s="11"/>
      <c r="J7" s="263"/>
    </row>
    <row r="8" spans="1:10" ht="15" customHeight="1" x14ac:dyDescent="0.25">
      <c r="A8" s="264"/>
      <c r="B8" s="13" t="s">
        <v>138</v>
      </c>
      <c r="C8" s="13" t="s">
        <v>63</v>
      </c>
      <c r="D8" s="183">
        <f>'DATA AWAL NASABAH'!B1</f>
        <v>45986</v>
      </c>
      <c r="E8" s="84"/>
      <c r="F8" s="619" t="s">
        <v>218</v>
      </c>
      <c r="G8" s="620" t="s">
        <v>404</v>
      </c>
      <c r="H8" s="621"/>
      <c r="I8" s="622" t="s">
        <v>718</v>
      </c>
      <c r="J8" s="263"/>
    </row>
    <row r="9" spans="1:10" ht="15" customHeight="1" x14ac:dyDescent="0.3">
      <c r="A9" s="264"/>
      <c r="B9" s="13" t="s">
        <v>210</v>
      </c>
      <c r="C9" s="13" t="s">
        <v>63</v>
      </c>
      <c r="D9" s="807" t="s">
        <v>752</v>
      </c>
      <c r="E9" s="84"/>
      <c r="F9" s="623" t="s">
        <v>366</v>
      </c>
      <c r="G9" s="87" t="s">
        <v>405</v>
      </c>
      <c r="H9" s="87"/>
      <c r="I9" s="624"/>
      <c r="J9" s="263"/>
    </row>
    <row r="10" spans="1:10" ht="15" customHeight="1" x14ac:dyDescent="0.25">
      <c r="A10" s="264"/>
      <c r="B10" s="13" t="s">
        <v>556</v>
      </c>
      <c r="C10" s="13" t="s">
        <v>63</v>
      </c>
      <c r="D10" s="383">
        <f>'TANAH BANGUNAN'!D118+'TANAH BANGUNAN'!M118</f>
        <v>62167000</v>
      </c>
      <c r="E10" s="84"/>
      <c r="F10" s="623" t="s">
        <v>367</v>
      </c>
      <c r="G10" s="87" t="s">
        <v>402</v>
      </c>
      <c r="H10" s="212">
        <f>D13</f>
        <v>10</v>
      </c>
      <c r="I10" s="624"/>
      <c r="J10" s="263"/>
    </row>
    <row r="11" spans="1:10" ht="15" customHeight="1" x14ac:dyDescent="0.25">
      <c r="A11" s="264"/>
      <c r="B11" s="18" t="s">
        <v>571</v>
      </c>
      <c r="C11" s="13" t="s">
        <v>63</v>
      </c>
      <c r="D11" s="383">
        <f>'TANAH BANGUNAN'!H118+'TANAH BANGUNAN'!Q118</f>
        <v>2755400000</v>
      </c>
      <c r="E11" s="84"/>
      <c r="F11" s="625" t="s">
        <v>448</v>
      </c>
      <c r="G11" s="11" t="s">
        <v>406</v>
      </c>
      <c r="H11" s="11"/>
      <c r="I11" s="624"/>
      <c r="J11" s="263"/>
    </row>
    <row r="12" spans="1:10" ht="15" customHeight="1" x14ac:dyDescent="0.25">
      <c r="A12" s="264"/>
      <c r="B12" s="18" t="s">
        <v>572</v>
      </c>
      <c r="C12" s="13" t="s">
        <v>63</v>
      </c>
      <c r="D12" s="90">
        <f>'TANAH BANGUNAN'!H119+'TANAH BANGUNAN'!Q119</f>
        <v>2066550000</v>
      </c>
      <c r="E12" s="86"/>
      <c r="F12" s="816" t="s">
        <v>704</v>
      </c>
      <c r="G12" s="11" t="s">
        <v>765</v>
      </c>
      <c r="H12" s="11"/>
      <c r="I12" s="53"/>
      <c r="J12" s="263"/>
    </row>
    <row r="13" spans="1:10" ht="15" customHeight="1" x14ac:dyDescent="0.25">
      <c r="A13" s="264"/>
      <c r="B13" s="18" t="s">
        <v>211</v>
      </c>
      <c r="C13" s="13" t="s">
        <v>63</v>
      </c>
      <c r="D13" s="85">
        <f>'DATA AWAL NASABAH'!B31</f>
        <v>10</v>
      </c>
      <c r="E13" s="88"/>
      <c r="F13" s="623"/>
      <c r="G13" s="87"/>
      <c r="H13" s="87"/>
      <c r="I13" s="624"/>
      <c r="J13" s="263"/>
    </row>
    <row r="14" spans="1:10" ht="15" customHeight="1" x14ac:dyDescent="0.3">
      <c r="A14" s="264"/>
      <c r="B14" s="13" t="s">
        <v>216</v>
      </c>
      <c r="C14" s="11" t="s">
        <v>63</v>
      </c>
      <c r="D14" s="626" t="str">
        <f>'DATA AWAL NASABAH'!B29</f>
        <v>INVESTASI PEMBELIAN TANAH</v>
      </c>
      <c r="E14" s="86"/>
      <c r="F14" s="623"/>
      <c r="G14" s="87"/>
      <c r="H14" s="87"/>
      <c r="I14" s="624"/>
      <c r="J14" s="263"/>
    </row>
    <row r="15" spans="1:10" ht="15" customHeight="1" x14ac:dyDescent="0.25">
      <c r="A15" s="264"/>
      <c r="B15" s="13" t="s">
        <v>176</v>
      </c>
      <c r="C15" s="13" t="s">
        <v>63</v>
      </c>
      <c r="D15" s="396">
        <f>'DATA AWAL NASABAH'!B18</f>
        <v>2000000000</v>
      </c>
      <c r="E15" s="86"/>
      <c r="F15" s="623"/>
      <c r="G15" s="87"/>
      <c r="H15" s="87"/>
      <c r="I15" s="622" t="str">
        <f>'DATA AWAL NASABAH'!B30</f>
        <v>ADRIAN WAHYU P</v>
      </c>
      <c r="J15" s="263"/>
    </row>
    <row r="16" spans="1:10" ht="15" customHeight="1" x14ac:dyDescent="0.25">
      <c r="A16" s="264"/>
      <c r="B16" s="13" t="s">
        <v>177</v>
      </c>
      <c r="C16" s="13" t="s">
        <v>63</v>
      </c>
      <c r="D16" s="397">
        <f>'DATA AWAL NASABAH'!B19</f>
        <v>12</v>
      </c>
      <c r="E16" s="86"/>
      <c r="F16" s="627"/>
      <c r="G16" s="628"/>
      <c r="H16" s="628"/>
      <c r="I16" s="629" t="s">
        <v>510</v>
      </c>
      <c r="J16" s="263"/>
    </row>
    <row r="17" spans="1:10" ht="15" customHeight="1" x14ac:dyDescent="0.25">
      <c r="A17" s="264"/>
      <c r="B17" s="166" t="s">
        <v>212</v>
      </c>
      <c r="C17" s="166" t="s">
        <v>63</v>
      </c>
      <c r="D17" s="172" t="s">
        <v>573</v>
      </c>
      <c r="E17" s="89"/>
      <c r="F17" s="630"/>
      <c r="G17" s="87"/>
      <c r="H17" s="87"/>
      <c r="I17" s="87"/>
      <c r="J17" s="263"/>
    </row>
    <row r="18" spans="1:10" ht="15" customHeight="1" x14ac:dyDescent="0.25">
      <c r="A18" s="264"/>
      <c r="B18" s="397" t="s">
        <v>369</v>
      </c>
      <c r="C18" s="397" t="s">
        <v>63</v>
      </c>
      <c r="D18" s="398">
        <f>'DATA AWAL NASABAH'!B20</f>
        <v>1.4999999999999999E-2</v>
      </c>
      <c r="E18" s="86"/>
      <c r="F18" s="630"/>
      <c r="G18" s="87"/>
      <c r="H18" s="87"/>
      <c r="I18" s="87"/>
      <c r="J18" s="263"/>
    </row>
    <row r="19" spans="1:10" ht="15" customHeight="1" x14ac:dyDescent="0.25">
      <c r="A19" s="264"/>
      <c r="B19" s="166" t="s">
        <v>574</v>
      </c>
      <c r="C19" s="166" t="s">
        <v>63</v>
      </c>
      <c r="D19" s="172">
        <f>D15*D18</f>
        <v>30000000</v>
      </c>
      <c r="E19" s="86"/>
      <c r="F19" s="630"/>
      <c r="G19" s="87"/>
      <c r="H19" s="87"/>
      <c r="I19" s="87"/>
      <c r="J19" s="263"/>
    </row>
    <row r="20" spans="1:10" ht="15" customHeight="1" x14ac:dyDescent="0.25">
      <c r="A20" s="264"/>
      <c r="B20" s="166" t="s">
        <v>575</v>
      </c>
      <c r="C20" s="166" t="s">
        <v>63</v>
      </c>
      <c r="D20" s="172">
        <f>D19</f>
        <v>30000000</v>
      </c>
      <c r="E20" s="86"/>
      <c r="F20" s="630"/>
      <c r="G20" s="87"/>
      <c r="H20" s="87"/>
      <c r="I20" s="87"/>
      <c r="J20" s="263"/>
    </row>
    <row r="21" spans="1:10" ht="15" customHeight="1" x14ac:dyDescent="0.25">
      <c r="A21" s="264"/>
      <c r="B21" s="166" t="s">
        <v>576</v>
      </c>
      <c r="C21" s="166" t="s">
        <v>63</v>
      </c>
      <c r="D21" s="172">
        <f t="shared" ref="D21:D30" si="0">D20</f>
        <v>30000000</v>
      </c>
      <c r="E21" s="86"/>
      <c r="F21" s="630"/>
      <c r="G21" s="87"/>
      <c r="H21" s="87"/>
      <c r="I21" s="87"/>
      <c r="J21" s="263"/>
    </row>
    <row r="22" spans="1:10" ht="15" customHeight="1" x14ac:dyDescent="0.25">
      <c r="A22" s="264"/>
      <c r="B22" s="166" t="s">
        <v>577</v>
      </c>
      <c r="C22" s="166" t="s">
        <v>63</v>
      </c>
      <c r="D22" s="172">
        <f t="shared" si="0"/>
        <v>30000000</v>
      </c>
      <c r="E22" s="86"/>
      <c r="F22" s="630"/>
      <c r="G22" s="87"/>
      <c r="H22" s="87"/>
      <c r="I22" s="87"/>
      <c r="J22" s="263"/>
    </row>
    <row r="23" spans="1:10" ht="15" customHeight="1" x14ac:dyDescent="0.25">
      <c r="A23" s="264"/>
      <c r="B23" s="166" t="s">
        <v>578</v>
      </c>
      <c r="C23" s="166" t="s">
        <v>63</v>
      </c>
      <c r="D23" s="172">
        <f t="shared" si="0"/>
        <v>30000000</v>
      </c>
      <c r="E23" s="86"/>
      <c r="F23" s="630"/>
      <c r="G23" s="87"/>
      <c r="H23" s="87"/>
      <c r="I23" s="87"/>
      <c r="J23" s="263"/>
    </row>
    <row r="24" spans="1:10" ht="15" customHeight="1" x14ac:dyDescent="0.25">
      <c r="A24" s="264"/>
      <c r="B24" s="166" t="s">
        <v>579</v>
      </c>
      <c r="C24" s="166" t="s">
        <v>63</v>
      </c>
      <c r="D24" s="172">
        <f t="shared" si="0"/>
        <v>30000000</v>
      </c>
      <c r="E24" s="86"/>
      <c r="F24" s="630"/>
      <c r="G24" s="13"/>
      <c r="H24" s="13"/>
      <c r="I24" s="85"/>
      <c r="J24" s="263"/>
    </row>
    <row r="25" spans="1:10" ht="13.5" customHeight="1" x14ac:dyDescent="0.25">
      <c r="A25" s="264"/>
      <c r="B25" s="166" t="s">
        <v>739</v>
      </c>
      <c r="C25" s="166" t="s">
        <v>63</v>
      </c>
      <c r="D25" s="172">
        <f t="shared" si="0"/>
        <v>30000000</v>
      </c>
      <c r="E25" s="11"/>
      <c r="F25" s="429"/>
      <c r="G25" s="13"/>
      <c r="H25" s="13"/>
      <c r="I25" s="631"/>
      <c r="J25" s="263"/>
    </row>
    <row r="26" spans="1:10" ht="13.5" customHeight="1" x14ac:dyDescent="0.25">
      <c r="A26" s="264"/>
      <c r="B26" s="166" t="s">
        <v>740</v>
      </c>
      <c r="C26" s="166" t="s">
        <v>63</v>
      </c>
      <c r="D26" s="172">
        <f t="shared" si="0"/>
        <v>30000000</v>
      </c>
      <c r="E26" s="11"/>
      <c r="F26" s="429"/>
      <c r="G26" s="13"/>
      <c r="H26" s="13"/>
      <c r="I26" s="631"/>
      <c r="J26" s="263"/>
    </row>
    <row r="27" spans="1:10" ht="13.5" customHeight="1" x14ac:dyDescent="0.25">
      <c r="A27" s="264"/>
      <c r="B27" s="166" t="s">
        <v>741</v>
      </c>
      <c r="C27" s="166" t="s">
        <v>63</v>
      </c>
      <c r="D27" s="172">
        <f t="shared" si="0"/>
        <v>30000000</v>
      </c>
      <c r="E27" s="86"/>
      <c r="F27" s="632"/>
      <c r="G27" s="91"/>
      <c r="H27" s="12"/>
      <c r="I27" s="633"/>
      <c r="J27" s="263"/>
    </row>
    <row r="28" spans="1:10" ht="13.5" customHeight="1" x14ac:dyDescent="0.25">
      <c r="A28" s="264"/>
      <c r="B28" s="166" t="s">
        <v>742</v>
      </c>
      <c r="C28" s="166" t="s">
        <v>63</v>
      </c>
      <c r="D28" s="172">
        <f t="shared" si="0"/>
        <v>30000000</v>
      </c>
      <c r="E28" s="86"/>
      <c r="F28" s="632"/>
      <c r="G28" s="91"/>
      <c r="H28" s="12"/>
      <c r="I28" s="633"/>
      <c r="J28" s="263"/>
    </row>
    <row r="29" spans="1:10" ht="13.5" customHeight="1" x14ac:dyDescent="0.25">
      <c r="A29" s="264"/>
      <c r="B29" s="166" t="s">
        <v>743</v>
      </c>
      <c r="C29" s="166" t="s">
        <v>63</v>
      </c>
      <c r="D29" s="172">
        <f t="shared" si="0"/>
        <v>30000000</v>
      </c>
      <c r="E29" s="86"/>
      <c r="F29" s="632"/>
      <c r="G29" s="91"/>
      <c r="H29" s="12"/>
      <c r="I29" s="633"/>
      <c r="J29" s="263"/>
    </row>
    <row r="30" spans="1:10" ht="13.5" customHeight="1" x14ac:dyDescent="0.25">
      <c r="A30" s="264"/>
      <c r="B30" s="166" t="s">
        <v>744</v>
      </c>
      <c r="C30" s="166" t="s">
        <v>63</v>
      </c>
      <c r="D30" s="172">
        <f t="shared" si="0"/>
        <v>30000000</v>
      </c>
      <c r="E30" s="86"/>
      <c r="F30" s="632"/>
      <c r="G30" s="91"/>
      <c r="H30" s="12"/>
      <c r="I30" s="633"/>
      <c r="J30" s="263"/>
    </row>
    <row r="31" spans="1:10" ht="13.5" customHeight="1" x14ac:dyDescent="0.25">
      <c r="A31" s="264"/>
      <c r="B31" s="166" t="s">
        <v>580</v>
      </c>
      <c r="C31" s="166" t="s">
        <v>63</v>
      </c>
      <c r="D31" s="173">
        <f>SUM(D19:D30)</f>
        <v>360000000</v>
      </c>
      <c r="E31" s="86"/>
      <c r="F31" s="632"/>
      <c r="G31" s="91"/>
      <c r="H31" s="12"/>
      <c r="I31" s="633"/>
      <c r="J31" s="263"/>
    </row>
    <row r="32" spans="1:10" ht="13.5" customHeight="1" x14ac:dyDescent="0.25">
      <c r="A32" s="264"/>
      <c r="B32" s="166" t="s">
        <v>581</v>
      </c>
      <c r="C32" s="166" t="s">
        <v>63</v>
      </c>
      <c r="D32" s="173">
        <f>D15</f>
        <v>2000000000</v>
      </c>
      <c r="E32" s="86"/>
      <c r="F32" s="632"/>
      <c r="G32" s="91"/>
      <c r="H32" s="12"/>
      <c r="I32" s="633"/>
      <c r="J32" s="263"/>
    </row>
    <row r="33" spans="1:10" ht="13.5" customHeight="1" x14ac:dyDescent="0.25">
      <c r="A33" s="264"/>
      <c r="B33" s="167" t="s">
        <v>427</v>
      </c>
      <c r="C33" s="168" t="s">
        <v>63</v>
      </c>
      <c r="D33" s="169">
        <f>D32+D31</f>
        <v>2360000000</v>
      </c>
      <c r="E33" s="86"/>
      <c r="F33" s="632"/>
      <c r="G33" s="91"/>
      <c r="H33" s="12"/>
      <c r="I33" s="633"/>
      <c r="J33" s="263"/>
    </row>
    <row r="34" spans="1:10" ht="13.5" customHeight="1" x14ac:dyDescent="0.25">
      <c r="A34" s="264"/>
      <c r="B34" s="167" t="s">
        <v>523</v>
      </c>
      <c r="C34" s="168"/>
      <c r="D34" s="169"/>
      <c r="E34" s="86"/>
      <c r="F34" s="632"/>
      <c r="G34" s="91"/>
      <c r="H34" s="12"/>
      <c r="I34" s="633"/>
      <c r="J34" s="263"/>
    </row>
    <row r="35" spans="1:10" ht="13.5" customHeight="1" x14ac:dyDescent="0.25">
      <c r="A35" s="264"/>
      <c r="B35" s="634"/>
      <c r="C35" s="635"/>
      <c r="D35" s="636"/>
      <c r="E35" s="637"/>
      <c r="F35" s="638"/>
      <c r="G35" s="639"/>
      <c r="H35" s="640"/>
      <c r="I35" s="641" t="s">
        <v>4</v>
      </c>
      <c r="J35" s="263"/>
    </row>
    <row r="36" spans="1:10" ht="13.5" customHeight="1" x14ac:dyDescent="0.25">
      <c r="A36" s="264"/>
      <c r="B36" s="642"/>
      <c r="C36" s="168"/>
      <c r="D36" s="169"/>
      <c r="E36" s="86"/>
      <c r="F36" s="632"/>
      <c r="G36" s="91"/>
      <c r="H36" s="12"/>
      <c r="I36" s="643"/>
      <c r="J36" s="263"/>
    </row>
    <row r="37" spans="1:10" ht="13.5" customHeight="1" x14ac:dyDescent="0.25">
      <c r="A37" s="264"/>
      <c r="B37" s="642"/>
      <c r="C37" s="168"/>
      <c r="D37" s="169"/>
      <c r="E37" s="86"/>
      <c r="F37" s="632"/>
      <c r="G37" s="91"/>
      <c r="H37" s="12"/>
      <c r="I37" s="643"/>
      <c r="J37" s="263"/>
    </row>
    <row r="38" spans="1:10" ht="13.5" customHeight="1" x14ac:dyDescent="0.25">
      <c r="A38" s="264"/>
      <c r="B38" s="642"/>
      <c r="C38" s="168"/>
      <c r="D38" s="169"/>
      <c r="E38" s="86"/>
      <c r="F38" s="632"/>
      <c r="G38" s="91"/>
      <c r="H38" s="12"/>
      <c r="I38" s="644"/>
      <c r="J38" s="263"/>
    </row>
    <row r="39" spans="1:10" ht="13.5" customHeight="1" thickBot="1" x14ac:dyDescent="0.3">
      <c r="A39" s="264"/>
      <c r="B39" s="642"/>
      <c r="C39" s="168"/>
      <c r="D39" s="169"/>
      <c r="E39" s="86"/>
      <c r="F39" s="632"/>
      <c r="G39" s="91"/>
      <c r="H39" s="12"/>
      <c r="I39" s="644"/>
      <c r="J39" s="263"/>
    </row>
    <row r="40" spans="1:10" ht="13.5" customHeight="1" thickBot="1" x14ac:dyDescent="0.3">
      <c r="A40" s="264"/>
      <c r="B40" s="642"/>
      <c r="C40" s="168"/>
      <c r="D40" s="169"/>
      <c r="E40" s="86"/>
      <c r="F40" s="632"/>
      <c r="G40" s="91"/>
      <c r="H40" s="12"/>
      <c r="I40" s="451" t="s">
        <v>745</v>
      </c>
      <c r="J40" s="263"/>
    </row>
    <row r="41" spans="1:10" ht="13.5" customHeight="1" x14ac:dyDescent="0.25">
      <c r="A41" s="264"/>
      <c r="B41" s="645"/>
      <c r="C41" s="646"/>
      <c r="D41" s="647"/>
      <c r="E41" s="648"/>
      <c r="F41" s="649"/>
      <c r="G41" s="650"/>
      <c r="H41" s="651"/>
      <c r="I41" s="207" t="s">
        <v>582</v>
      </c>
      <c r="J41" s="263"/>
    </row>
    <row r="42" spans="1:10" ht="13.5" customHeight="1" x14ac:dyDescent="0.25">
      <c r="A42" s="264"/>
      <c r="B42" s="167" t="s">
        <v>523</v>
      </c>
      <c r="C42" s="168"/>
      <c r="D42" s="169"/>
      <c r="E42" s="86"/>
      <c r="F42" s="632"/>
      <c r="G42" s="91"/>
      <c r="H42" s="12"/>
      <c r="I42" s="633"/>
      <c r="J42" s="263"/>
    </row>
    <row r="43" spans="1:10" ht="13.5" customHeight="1" x14ac:dyDescent="0.25">
      <c r="A43" s="264"/>
      <c r="B43" s="634"/>
      <c r="C43" s="635"/>
      <c r="D43" s="636"/>
      <c r="E43" s="637"/>
      <c r="F43" s="638"/>
      <c r="G43" s="639"/>
      <c r="H43" s="640"/>
      <c r="I43" s="641" t="s">
        <v>4</v>
      </c>
      <c r="J43" s="263"/>
    </row>
    <row r="44" spans="1:10" ht="13.5" customHeight="1" x14ac:dyDescent="0.25">
      <c r="A44" s="264"/>
      <c r="B44" s="642"/>
      <c r="C44" s="168"/>
      <c r="D44" s="169"/>
      <c r="E44" s="86"/>
      <c r="F44" s="632"/>
      <c r="G44" s="91"/>
      <c r="H44" s="12"/>
      <c r="I44" s="643"/>
      <c r="J44" s="263"/>
    </row>
    <row r="45" spans="1:10" ht="13.5" customHeight="1" x14ac:dyDescent="0.25">
      <c r="A45" s="264"/>
      <c r="B45" s="642"/>
      <c r="C45" s="168"/>
      <c r="D45" s="169"/>
      <c r="E45" s="86"/>
      <c r="F45" s="632"/>
      <c r="G45" s="91"/>
      <c r="H45" s="12"/>
      <c r="I45" s="643"/>
      <c r="J45" s="263"/>
    </row>
    <row r="46" spans="1:10" ht="13.5" customHeight="1" x14ac:dyDescent="0.25">
      <c r="A46" s="264"/>
      <c r="B46" s="642"/>
      <c r="C46" s="168"/>
      <c r="D46" s="169"/>
      <c r="E46" s="86"/>
      <c r="F46" s="632"/>
      <c r="G46" s="91"/>
      <c r="H46" s="12"/>
      <c r="I46" s="644"/>
      <c r="J46" s="263"/>
    </row>
    <row r="47" spans="1:10" ht="13.5" customHeight="1" thickBot="1" x14ac:dyDescent="0.3">
      <c r="A47" s="264"/>
      <c r="B47" s="642"/>
      <c r="C47" s="168"/>
      <c r="D47" s="169"/>
      <c r="E47" s="86"/>
      <c r="F47" s="632"/>
      <c r="G47" s="91"/>
      <c r="H47" s="12"/>
      <c r="I47" s="644"/>
      <c r="J47" s="263"/>
    </row>
    <row r="48" spans="1:10" ht="13.5" customHeight="1" thickBot="1" x14ac:dyDescent="0.3">
      <c r="A48" s="264"/>
      <c r="B48" s="642"/>
      <c r="C48" s="168"/>
      <c r="D48" s="169"/>
      <c r="E48" s="86"/>
      <c r="F48" s="632"/>
      <c r="G48" s="91"/>
      <c r="H48" s="12"/>
      <c r="I48" s="477" t="s">
        <v>746</v>
      </c>
      <c r="J48" s="263"/>
    </row>
    <row r="49" spans="1:10" ht="13.5" customHeight="1" x14ac:dyDescent="0.25">
      <c r="A49" s="264"/>
      <c r="B49" s="645"/>
      <c r="C49" s="646"/>
      <c r="D49" s="647"/>
      <c r="E49" s="648"/>
      <c r="F49" s="649"/>
      <c r="G49" s="650"/>
      <c r="H49" s="651"/>
      <c r="I49" s="207" t="s">
        <v>715</v>
      </c>
      <c r="J49" s="263"/>
    </row>
    <row r="50" spans="1:10" ht="13.5" customHeight="1" x14ac:dyDescent="0.25">
      <c r="A50" s="264"/>
      <c r="B50" s="167" t="s">
        <v>523</v>
      </c>
      <c r="C50" s="168"/>
      <c r="D50" s="169"/>
      <c r="E50" s="86"/>
      <c r="F50" s="632"/>
      <c r="G50" s="91"/>
      <c r="H50" s="12"/>
      <c r="I50" s="633"/>
      <c r="J50" s="263"/>
    </row>
    <row r="51" spans="1:10" ht="13.5" customHeight="1" x14ac:dyDescent="0.25">
      <c r="A51" s="264"/>
      <c r="B51" s="634"/>
      <c r="C51" s="635"/>
      <c r="D51" s="636"/>
      <c r="E51" s="637"/>
      <c r="F51" s="638"/>
      <c r="G51" s="639"/>
      <c r="H51" s="640"/>
      <c r="I51" s="181" t="s">
        <v>4</v>
      </c>
      <c r="J51" s="263"/>
    </row>
    <row r="52" spans="1:10" ht="13.5" customHeight="1" x14ac:dyDescent="0.25">
      <c r="A52" s="264"/>
      <c r="B52" s="642"/>
      <c r="C52" s="168"/>
      <c r="D52" s="169"/>
      <c r="E52" s="86"/>
      <c r="F52" s="632"/>
      <c r="G52" s="91"/>
      <c r="H52" s="12"/>
      <c r="I52" s="652"/>
      <c r="J52" s="263"/>
    </row>
    <row r="53" spans="1:10" ht="13.5" customHeight="1" x14ac:dyDescent="0.25">
      <c r="A53" s="264"/>
      <c r="B53" s="642"/>
      <c r="C53" s="168"/>
      <c r="D53" s="169"/>
      <c r="E53" s="86"/>
      <c r="F53" s="632"/>
      <c r="G53" s="91"/>
      <c r="H53" s="12"/>
      <c r="I53" s="652"/>
      <c r="J53" s="263"/>
    </row>
    <row r="54" spans="1:10" ht="13.5" customHeight="1" x14ac:dyDescent="0.25">
      <c r="A54" s="264"/>
      <c r="B54" s="642"/>
      <c r="C54" s="168"/>
      <c r="D54" s="169"/>
      <c r="E54" s="86"/>
      <c r="F54" s="632"/>
      <c r="G54" s="91"/>
      <c r="H54" s="12"/>
      <c r="I54" s="644"/>
      <c r="J54" s="263"/>
    </row>
    <row r="55" spans="1:10" ht="13.5" customHeight="1" thickBot="1" x14ac:dyDescent="0.3">
      <c r="A55" s="264"/>
      <c r="B55" s="642"/>
      <c r="C55" s="168"/>
      <c r="D55" s="169"/>
      <c r="E55" s="86"/>
      <c r="F55" s="632"/>
      <c r="G55" s="91"/>
      <c r="H55" s="12"/>
      <c r="I55" s="644"/>
      <c r="J55" s="263"/>
    </row>
    <row r="56" spans="1:10" ht="13.5" customHeight="1" thickBot="1" x14ac:dyDescent="0.3">
      <c r="A56" s="264"/>
      <c r="B56" s="642"/>
      <c r="C56" s="168"/>
      <c r="D56" s="169"/>
      <c r="E56" s="86"/>
      <c r="F56" s="632"/>
      <c r="G56" s="91"/>
      <c r="H56" s="12"/>
      <c r="I56" s="477" t="s">
        <v>570</v>
      </c>
      <c r="J56" s="654"/>
    </row>
    <row r="57" spans="1:10" ht="13.5" customHeight="1" x14ac:dyDescent="0.25">
      <c r="A57" s="264"/>
      <c r="B57" s="645"/>
      <c r="C57" s="646"/>
      <c r="D57" s="647"/>
      <c r="E57" s="648"/>
      <c r="F57" s="649"/>
      <c r="G57" s="650"/>
      <c r="H57" s="651"/>
      <c r="I57" s="653" t="s">
        <v>747</v>
      </c>
      <c r="J57" s="654"/>
    </row>
    <row r="58" spans="1:10" ht="24.95" customHeight="1" x14ac:dyDescent="0.25">
      <c r="A58" s="264"/>
      <c r="B58" s="12" t="s">
        <v>158</v>
      </c>
      <c r="C58" s="12" t="s">
        <v>63</v>
      </c>
      <c r="D58" s="11" t="s">
        <v>583</v>
      </c>
      <c r="E58" s="11"/>
      <c r="F58" s="91"/>
      <c r="G58" s="11"/>
      <c r="H58" s="13"/>
      <c r="I58" s="11"/>
      <c r="J58" s="263"/>
    </row>
    <row r="59" spans="1:10" ht="24.95" customHeight="1" x14ac:dyDescent="0.25">
      <c r="A59" s="264"/>
      <c r="B59" s="13" t="s">
        <v>138</v>
      </c>
      <c r="C59" s="13" t="s">
        <v>63</v>
      </c>
      <c r="D59" s="13"/>
      <c r="E59" s="13"/>
      <c r="F59" s="630"/>
      <c r="G59" s="655"/>
      <c r="H59" s="87"/>
      <c r="I59" s="87"/>
      <c r="J59" s="263"/>
    </row>
    <row r="60" spans="1:10" ht="24.95" customHeight="1" x14ac:dyDescent="0.25">
      <c r="A60" s="264"/>
      <c r="B60" s="13" t="s">
        <v>210</v>
      </c>
      <c r="C60" s="13" t="s">
        <v>63</v>
      </c>
      <c r="D60" s="85"/>
      <c r="E60" s="86"/>
      <c r="F60" s="630"/>
      <c r="G60" s="87"/>
      <c r="H60" s="87"/>
      <c r="I60" s="87"/>
      <c r="J60" s="263"/>
    </row>
    <row r="61" spans="1:10" ht="24.95" customHeight="1" x14ac:dyDescent="0.25">
      <c r="A61" s="264"/>
      <c r="B61" s="13" t="s">
        <v>556</v>
      </c>
      <c r="C61" s="13" t="s">
        <v>63</v>
      </c>
      <c r="D61" s="85"/>
      <c r="E61" s="86"/>
      <c r="F61" s="630"/>
      <c r="G61" s="87"/>
      <c r="H61" s="87"/>
      <c r="I61" s="87"/>
      <c r="J61" s="263"/>
    </row>
    <row r="62" spans="1:10" ht="24.95" customHeight="1" x14ac:dyDescent="0.25">
      <c r="A62" s="264"/>
      <c r="B62" s="18" t="s">
        <v>200</v>
      </c>
      <c r="C62" s="13" t="s">
        <v>63</v>
      </c>
      <c r="D62" s="656"/>
      <c r="E62" s="657"/>
      <c r="F62" s="630"/>
      <c r="G62" s="87"/>
      <c r="H62" s="87"/>
      <c r="I62" s="87"/>
      <c r="J62" s="263"/>
    </row>
    <row r="63" spans="1:10" ht="24.95" customHeight="1" x14ac:dyDescent="0.25">
      <c r="A63" s="264"/>
      <c r="B63" s="18" t="s">
        <v>572</v>
      </c>
      <c r="C63" s="13" t="s">
        <v>63</v>
      </c>
      <c r="D63" s="656"/>
      <c r="E63" s="657"/>
      <c r="F63" s="630"/>
      <c r="G63" s="87"/>
      <c r="H63" s="87"/>
      <c r="I63" s="87"/>
      <c r="J63" s="263"/>
    </row>
    <row r="64" spans="1:10" ht="24.95" customHeight="1" x14ac:dyDescent="0.25">
      <c r="A64" s="264"/>
      <c r="B64" s="18" t="s">
        <v>211</v>
      </c>
      <c r="C64" s="13" t="s">
        <v>63</v>
      </c>
      <c r="D64" s="85"/>
      <c r="E64" s="86"/>
      <c r="F64" s="630"/>
      <c r="G64" s="87"/>
      <c r="H64" s="87"/>
      <c r="I64" s="87"/>
      <c r="J64" s="263"/>
    </row>
    <row r="65" spans="1:10" ht="24.95" customHeight="1" x14ac:dyDescent="0.25">
      <c r="A65" s="264"/>
      <c r="B65" s="13" t="s">
        <v>216</v>
      </c>
      <c r="C65" s="11" t="s">
        <v>63</v>
      </c>
      <c r="D65" s="85"/>
      <c r="E65" s="86"/>
      <c r="F65" s="630"/>
      <c r="G65" s="87"/>
      <c r="H65" s="87"/>
      <c r="I65" s="87"/>
      <c r="J65" s="263"/>
    </row>
    <row r="66" spans="1:10" ht="24.95" customHeight="1" x14ac:dyDescent="0.25">
      <c r="A66" s="264"/>
      <c r="B66" s="13" t="s">
        <v>176</v>
      </c>
      <c r="C66" s="13" t="s">
        <v>63</v>
      </c>
      <c r="D66" s="85"/>
      <c r="E66" s="86"/>
      <c r="F66" s="630"/>
      <c r="G66" s="87"/>
      <c r="H66" s="87"/>
      <c r="I66" s="87"/>
      <c r="J66" s="263"/>
    </row>
    <row r="67" spans="1:10" ht="24.95" customHeight="1" x14ac:dyDescent="0.25">
      <c r="A67" s="264"/>
      <c r="B67" s="13" t="s">
        <v>177</v>
      </c>
      <c r="C67" s="13" t="s">
        <v>63</v>
      </c>
      <c r="D67" s="85"/>
      <c r="E67" s="86"/>
      <c r="F67" s="630"/>
      <c r="G67" s="87"/>
      <c r="H67" s="87"/>
      <c r="I67" s="87"/>
      <c r="J67" s="263"/>
    </row>
    <row r="68" spans="1:10" ht="24.95" customHeight="1" x14ac:dyDescent="0.25">
      <c r="A68" s="264"/>
      <c r="B68" s="166" t="s">
        <v>212</v>
      </c>
      <c r="C68" s="166" t="s">
        <v>63</v>
      </c>
      <c r="D68" s="85"/>
      <c r="E68" s="658"/>
      <c r="F68" s="630"/>
      <c r="G68" s="87"/>
      <c r="H68" s="87"/>
      <c r="I68" s="87"/>
      <c r="J68" s="263"/>
    </row>
    <row r="69" spans="1:10" ht="24.95" customHeight="1" x14ac:dyDescent="0.25">
      <c r="A69" s="264"/>
      <c r="B69" s="397" t="s">
        <v>369</v>
      </c>
      <c r="C69" s="166" t="s">
        <v>63</v>
      </c>
      <c r="D69" s="85"/>
      <c r="E69" s="658"/>
      <c r="F69" s="630"/>
      <c r="G69" s="87"/>
      <c r="H69" s="87"/>
      <c r="I69" s="87"/>
      <c r="J69" s="263"/>
    </row>
    <row r="70" spans="1:10" ht="24.95" customHeight="1" x14ac:dyDescent="0.25">
      <c r="A70" s="264"/>
      <c r="B70" s="166" t="s">
        <v>584</v>
      </c>
      <c r="C70" s="166" t="s">
        <v>63</v>
      </c>
      <c r="D70" s="85"/>
      <c r="E70" s="658"/>
      <c r="F70" s="630"/>
      <c r="G70" s="87"/>
      <c r="H70" s="87"/>
      <c r="I70" s="87"/>
      <c r="J70" s="263"/>
    </row>
    <row r="71" spans="1:10" ht="24.95" customHeight="1" x14ac:dyDescent="0.25">
      <c r="A71" s="264"/>
      <c r="B71" s="166" t="s">
        <v>580</v>
      </c>
      <c r="C71" s="166" t="s">
        <v>63</v>
      </c>
      <c r="D71" s="85"/>
      <c r="E71" s="658"/>
      <c r="F71" s="630"/>
      <c r="G71" s="87"/>
      <c r="H71" s="87"/>
      <c r="I71" s="87"/>
      <c r="J71" s="263"/>
    </row>
    <row r="72" spans="1:10" ht="24.95" customHeight="1" x14ac:dyDescent="0.25">
      <c r="A72" s="264"/>
      <c r="B72" s="166" t="s">
        <v>581</v>
      </c>
      <c r="C72" s="166" t="s">
        <v>63</v>
      </c>
      <c r="D72" s="85"/>
      <c r="E72" s="658"/>
      <c r="F72" s="630"/>
      <c r="G72" s="87"/>
      <c r="H72" s="87"/>
      <c r="I72" s="87"/>
      <c r="J72" s="263"/>
    </row>
    <row r="73" spans="1:10" ht="24.95" customHeight="1" x14ac:dyDescent="0.25">
      <c r="A73" s="264"/>
      <c r="B73" s="167" t="s">
        <v>215</v>
      </c>
      <c r="C73" s="166" t="s">
        <v>63</v>
      </c>
      <c r="D73" s="659"/>
      <c r="E73" s="11"/>
      <c r="F73" s="429"/>
      <c r="G73" s="11"/>
      <c r="H73" s="11"/>
      <c r="I73" s="20"/>
      <c r="J73" s="263"/>
    </row>
    <row r="74" spans="1:10" x14ac:dyDescent="0.25">
      <c r="A74" s="264"/>
      <c r="B74" s="167"/>
      <c r="C74" s="166"/>
      <c r="D74" s="659"/>
      <c r="E74" s="11"/>
      <c r="F74" s="429"/>
      <c r="G74" s="11"/>
      <c r="H74" s="11"/>
      <c r="I74" s="20"/>
      <c r="J74" s="263"/>
    </row>
    <row r="75" spans="1:10" x14ac:dyDescent="0.25">
      <c r="A75" s="264"/>
      <c r="B75" s="91" t="s">
        <v>208</v>
      </c>
      <c r="C75" s="166"/>
      <c r="D75" s="659"/>
      <c r="E75" s="11"/>
      <c r="F75" s="429"/>
      <c r="G75" s="11"/>
      <c r="H75" s="11"/>
      <c r="I75" s="20"/>
      <c r="J75" s="263"/>
    </row>
    <row r="76" spans="1:10" x14ac:dyDescent="0.25">
      <c r="A76" s="264"/>
      <c r="B76" s="634"/>
      <c r="C76" s="660"/>
      <c r="D76" s="661"/>
      <c r="E76" s="662"/>
      <c r="F76" s="663"/>
      <c r="G76" s="662"/>
      <c r="H76" s="662"/>
      <c r="I76" s="181" t="s">
        <v>4</v>
      </c>
      <c r="J76" s="263"/>
    </row>
    <row r="77" spans="1:10" x14ac:dyDescent="0.25">
      <c r="A77" s="264"/>
      <c r="B77" s="642"/>
      <c r="C77" s="166"/>
      <c r="D77" s="659"/>
      <c r="E77" s="11"/>
      <c r="F77" s="429"/>
      <c r="G77" s="11"/>
      <c r="H77" s="11"/>
      <c r="I77" s="664"/>
      <c r="J77" s="263"/>
    </row>
    <row r="78" spans="1:10" x14ac:dyDescent="0.25">
      <c r="A78" s="264"/>
      <c r="B78" s="642"/>
      <c r="C78" s="166"/>
      <c r="D78" s="659"/>
      <c r="E78" s="11"/>
      <c r="F78" s="429"/>
      <c r="G78" s="11"/>
      <c r="H78" s="11"/>
      <c r="I78" s="664"/>
      <c r="J78" s="263"/>
    </row>
    <row r="79" spans="1:10" x14ac:dyDescent="0.25">
      <c r="A79" s="264"/>
      <c r="B79" s="642"/>
      <c r="C79" s="166"/>
      <c r="D79" s="659"/>
      <c r="E79" s="11"/>
      <c r="F79" s="429"/>
      <c r="G79" s="11"/>
      <c r="H79" s="11"/>
      <c r="I79" s="664"/>
      <c r="J79" s="263"/>
    </row>
    <row r="80" spans="1:10" x14ac:dyDescent="0.25">
      <c r="A80" s="264"/>
      <c r="B80" s="642"/>
      <c r="C80" s="166"/>
      <c r="D80" s="659"/>
      <c r="E80" s="11"/>
      <c r="F80" s="429"/>
      <c r="G80" s="11"/>
      <c r="H80" s="11"/>
      <c r="I80" s="664"/>
      <c r="J80" s="263"/>
    </row>
    <row r="81" spans="1:10" x14ac:dyDescent="0.25">
      <c r="A81" s="264"/>
      <c r="B81" s="642"/>
      <c r="C81" s="166"/>
      <c r="D81" s="659"/>
      <c r="E81" s="11"/>
      <c r="F81" s="429"/>
      <c r="G81" s="11"/>
      <c r="H81" s="11"/>
      <c r="I81" s="36" t="s">
        <v>748</v>
      </c>
      <c r="J81" s="263"/>
    </row>
    <row r="82" spans="1:10" x14ac:dyDescent="0.25">
      <c r="A82" s="264"/>
      <c r="B82" s="645"/>
      <c r="C82" s="665"/>
      <c r="D82" s="666"/>
      <c r="E82" s="5"/>
      <c r="F82" s="667"/>
      <c r="G82" s="5"/>
      <c r="H82" s="5"/>
      <c r="I82" s="36" t="s">
        <v>749</v>
      </c>
      <c r="J82" s="263"/>
    </row>
    <row r="83" spans="1:10" x14ac:dyDescent="0.25">
      <c r="A83" s="264"/>
      <c r="B83" s="167"/>
      <c r="C83" s="166"/>
      <c r="D83" s="659"/>
      <c r="E83" s="11"/>
      <c r="F83" s="429"/>
      <c r="G83" s="11"/>
      <c r="H83" s="11"/>
      <c r="I83" s="798"/>
      <c r="J83" s="263"/>
    </row>
    <row r="84" spans="1:10" x14ac:dyDescent="0.25">
      <c r="A84" s="264"/>
      <c r="B84" s="91" t="s">
        <v>208</v>
      </c>
      <c r="C84" s="166"/>
      <c r="D84" s="659"/>
      <c r="E84" s="11"/>
      <c r="F84" s="429"/>
      <c r="G84" s="11"/>
      <c r="H84" s="11"/>
      <c r="I84" s="20"/>
      <c r="J84" s="263"/>
    </row>
    <row r="85" spans="1:10" x14ac:dyDescent="0.25">
      <c r="A85" s="264"/>
      <c r="B85" s="634"/>
      <c r="C85" s="660"/>
      <c r="D85" s="661"/>
      <c r="E85" s="662"/>
      <c r="F85" s="663"/>
      <c r="G85" s="662"/>
      <c r="H85" s="662"/>
      <c r="I85" s="181" t="s">
        <v>554</v>
      </c>
      <c r="J85" s="263"/>
    </row>
    <row r="86" spans="1:10" x14ac:dyDescent="0.25">
      <c r="A86" s="264"/>
      <c r="B86" s="642"/>
      <c r="C86" s="166"/>
      <c r="D86" s="659"/>
      <c r="E86" s="11"/>
      <c r="F86" s="429"/>
      <c r="G86" s="11"/>
      <c r="H86" s="11"/>
      <c r="I86" s="664"/>
      <c r="J86" s="263"/>
    </row>
    <row r="87" spans="1:10" x14ac:dyDescent="0.25">
      <c r="A87" s="264"/>
      <c r="B87" s="642"/>
      <c r="C87" s="166"/>
      <c r="D87" s="659"/>
      <c r="E87" s="11"/>
      <c r="F87" s="429"/>
      <c r="G87" s="11"/>
      <c r="H87" s="11"/>
      <c r="I87" s="664"/>
      <c r="J87" s="263"/>
    </row>
    <row r="88" spans="1:10" x14ac:dyDescent="0.25">
      <c r="A88" s="264"/>
      <c r="B88" s="642"/>
      <c r="C88" s="166"/>
      <c r="D88" s="659"/>
      <c r="E88" s="11"/>
      <c r="F88" s="429"/>
      <c r="G88" s="11"/>
      <c r="H88" s="11"/>
      <c r="I88" s="664"/>
      <c r="J88" s="263"/>
    </row>
    <row r="89" spans="1:10" x14ac:dyDescent="0.25">
      <c r="A89" s="264"/>
      <c r="B89" s="642"/>
      <c r="C89" s="166"/>
      <c r="D89" s="659"/>
      <c r="E89" s="11"/>
      <c r="F89" s="429"/>
      <c r="G89" s="11"/>
      <c r="H89" s="11"/>
      <c r="I89" s="664"/>
      <c r="J89" s="263"/>
    </row>
    <row r="90" spans="1:10" x14ac:dyDescent="0.25">
      <c r="A90" s="264"/>
      <c r="B90" s="642"/>
      <c r="C90" s="166"/>
      <c r="D90" s="659"/>
      <c r="E90" s="11"/>
      <c r="F90" s="429"/>
      <c r="G90" s="11"/>
      <c r="H90" s="11"/>
      <c r="I90" s="36" t="s">
        <v>671</v>
      </c>
      <c r="J90" s="263"/>
    </row>
    <row r="91" spans="1:10" x14ac:dyDescent="0.25">
      <c r="A91" s="264"/>
      <c r="B91" s="645"/>
      <c r="C91" s="665"/>
      <c r="D91" s="666"/>
      <c r="E91" s="5"/>
      <c r="F91" s="667"/>
      <c r="G91" s="5"/>
      <c r="H91" s="5"/>
      <c r="I91" s="36" t="s">
        <v>701</v>
      </c>
      <c r="J91" s="263"/>
    </row>
    <row r="92" spans="1:10" x14ac:dyDescent="0.25">
      <c r="A92" s="264"/>
      <c r="B92" s="167"/>
      <c r="C92" s="166"/>
      <c r="D92" s="659"/>
      <c r="E92" s="11"/>
      <c r="F92" s="429"/>
      <c r="G92" s="11"/>
      <c r="H92" s="11"/>
      <c r="I92" s="20"/>
      <c r="J92" s="263"/>
    </row>
    <row r="93" spans="1:10" ht="15.75" thickBot="1" x14ac:dyDescent="0.3">
      <c r="A93" s="301"/>
      <c r="B93" s="668"/>
      <c r="C93" s="463"/>
      <c r="D93" s="797"/>
      <c r="E93" s="669"/>
      <c r="F93" s="836"/>
      <c r="G93" s="836"/>
      <c r="H93" s="669"/>
      <c r="I93" s="797"/>
      <c r="J93" s="265"/>
    </row>
  </sheetData>
  <mergeCells count="4">
    <mergeCell ref="D2:F2"/>
    <mergeCell ref="D4:F4"/>
    <mergeCell ref="B6:I6"/>
    <mergeCell ref="F93:G93"/>
  </mergeCells>
  <pageMargins left="0.53" right="0.37" top="0.34" bottom="0.4" header="0.31496062992125984" footer="0.31496062992125984"/>
  <pageSetup paperSize="9" scale="54"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72"/>
  <sheetViews>
    <sheetView topLeftCell="A13" workbookViewId="0">
      <selection activeCell="J71" sqref="J71"/>
    </sheetView>
  </sheetViews>
  <sheetFormatPr defaultColWidth="8.85546875" defaultRowHeight="13.5" x14ac:dyDescent="0.25"/>
  <cols>
    <col min="1" max="1" width="1.85546875" style="2" customWidth="1"/>
    <col min="2" max="2" width="22.85546875" style="2" customWidth="1"/>
    <col min="3" max="3" width="2.28515625" style="2" customWidth="1"/>
    <col min="4" max="4" width="25.85546875" style="2" customWidth="1"/>
    <col min="5" max="5" width="1.85546875" style="2" customWidth="1"/>
    <col min="6" max="6" width="3.28515625" style="52" customWidth="1"/>
    <col min="7" max="7" width="19.5703125" style="2" customWidth="1"/>
    <col min="8" max="8" width="3.28515625" style="2" bestFit="1" customWidth="1"/>
    <col min="9" max="9" width="13.28515625" style="2" customWidth="1"/>
    <col min="10" max="10" width="25.85546875" style="2" customWidth="1"/>
    <col min="11" max="11" width="2.5703125" style="2" customWidth="1"/>
    <col min="12" max="14" width="8.85546875" style="2"/>
    <col min="15" max="15" width="10" style="2" bestFit="1" customWidth="1"/>
    <col min="16" max="16384" width="8.85546875" style="2"/>
  </cols>
  <sheetData>
    <row r="1" spans="1:11" x14ac:dyDescent="0.25">
      <c r="A1" s="354"/>
      <c r="B1" s="291"/>
      <c r="C1" s="291"/>
      <c r="D1" s="291"/>
      <c r="E1" s="291"/>
      <c r="F1" s="292"/>
      <c r="G1" s="291"/>
      <c r="H1" s="291"/>
      <c r="I1" s="291"/>
      <c r="J1" s="291"/>
      <c r="K1" s="266"/>
    </row>
    <row r="2" spans="1:11" ht="15" x14ac:dyDescent="0.25">
      <c r="A2" s="264"/>
      <c r="B2" s="365" t="s">
        <v>133</v>
      </c>
      <c r="C2" s="366" t="s">
        <v>63</v>
      </c>
      <c r="D2" s="834" t="str">
        <f>'KOMITE ANUITAS'!D2:F2</f>
        <v>DYAH RETNO SULISTYOWATI</v>
      </c>
      <c r="E2" s="834"/>
      <c r="F2" s="834"/>
      <c r="G2" s="261"/>
      <c r="H2" s="261"/>
      <c r="I2" s="261"/>
      <c r="J2" s="11"/>
      <c r="K2" s="263"/>
    </row>
    <row r="3" spans="1:11" ht="15" x14ac:dyDescent="0.25">
      <c r="A3" s="264"/>
      <c r="B3" s="365" t="s">
        <v>129</v>
      </c>
      <c r="C3" s="366" t="s">
        <v>63</v>
      </c>
      <c r="D3" s="367" t="str">
        <f>'KOMITE ANUITAS'!D3</f>
        <v>TOSARI REJO 001/006 JARAKSARI WONOSOBO</v>
      </c>
      <c r="E3" s="367"/>
      <c r="F3" s="367"/>
      <c r="G3" s="261"/>
      <c r="H3" s="261"/>
      <c r="I3" s="261"/>
      <c r="J3" s="11"/>
      <c r="K3" s="263"/>
    </row>
    <row r="4" spans="1:11" ht="15" x14ac:dyDescent="0.25">
      <c r="A4" s="264"/>
      <c r="B4" s="365" t="s">
        <v>393</v>
      </c>
      <c r="C4" s="366" t="s">
        <v>63</v>
      </c>
      <c r="D4" s="834" t="str">
        <f>'KOMITE ANUITAS'!D4:F4</f>
        <v>PNS</v>
      </c>
      <c r="E4" s="834"/>
      <c r="F4" s="834"/>
      <c r="G4" s="261"/>
      <c r="H4" s="261"/>
      <c r="I4" s="261"/>
      <c r="J4" s="11"/>
      <c r="K4" s="263"/>
    </row>
    <row r="5" spans="1:11" ht="18" x14ac:dyDescent="0.25">
      <c r="A5" s="264"/>
      <c r="B5" s="835" t="s">
        <v>207</v>
      </c>
      <c r="C5" s="835"/>
      <c r="D5" s="835"/>
      <c r="E5" s="835"/>
      <c r="F5" s="835"/>
      <c r="G5" s="835"/>
      <c r="H5" s="835"/>
      <c r="I5" s="835"/>
      <c r="J5" s="835"/>
      <c r="K5" s="263"/>
    </row>
    <row r="6" spans="1:11" x14ac:dyDescent="0.25">
      <c r="A6" s="264"/>
      <c r="B6" s="12"/>
      <c r="C6" s="12"/>
      <c r="D6" s="12"/>
      <c r="E6" s="12"/>
      <c r="F6" s="618"/>
      <c r="G6" s="12"/>
      <c r="H6" s="12"/>
      <c r="I6" s="12"/>
      <c r="J6" s="12"/>
      <c r="K6" s="263"/>
    </row>
    <row r="7" spans="1:11" ht="14.25" thickBot="1" x14ac:dyDescent="0.3">
      <c r="A7" s="264"/>
      <c r="B7" s="17" t="s">
        <v>526</v>
      </c>
      <c r="C7" s="11"/>
      <c r="D7" s="13"/>
      <c r="E7" s="13"/>
      <c r="F7" s="91" t="s">
        <v>208</v>
      </c>
      <c r="G7" s="11"/>
      <c r="H7" s="13"/>
      <c r="I7" s="13"/>
      <c r="J7" s="11"/>
      <c r="K7" s="263"/>
    </row>
    <row r="8" spans="1:11" ht="15.6" customHeight="1" thickBot="1" x14ac:dyDescent="0.3">
      <c r="A8" s="264"/>
      <c r="B8" s="13" t="s">
        <v>138</v>
      </c>
      <c r="C8" s="13" t="s">
        <v>63</v>
      </c>
      <c r="D8" s="183">
        <f>'DATA AWAL NASABAH'!B1</f>
        <v>45986</v>
      </c>
      <c r="E8" s="84"/>
      <c r="F8" s="433" t="s">
        <v>218</v>
      </c>
      <c r="G8" s="430" t="s">
        <v>404</v>
      </c>
      <c r="H8" s="431"/>
      <c r="I8" s="431"/>
      <c r="J8" s="447" t="s">
        <v>2</v>
      </c>
      <c r="K8" s="263"/>
    </row>
    <row r="9" spans="1:11" ht="15.6" customHeight="1" x14ac:dyDescent="0.25">
      <c r="A9" s="264"/>
      <c r="B9" s="13" t="s">
        <v>210</v>
      </c>
      <c r="C9" s="13" t="s">
        <v>63</v>
      </c>
      <c r="D9" s="617" t="str">
        <f>'TANAH BANGUNAN'!M16</f>
        <v>SHM/NO.01565</v>
      </c>
      <c r="E9" s="84"/>
      <c r="F9" s="434" t="s">
        <v>366</v>
      </c>
      <c r="G9" s="87" t="s">
        <v>405</v>
      </c>
      <c r="H9" s="87"/>
      <c r="I9" s="87"/>
      <c r="J9" s="467"/>
      <c r="K9" s="263"/>
    </row>
    <row r="10" spans="1:11" x14ac:dyDescent="0.25">
      <c r="A10" s="264"/>
      <c r="B10" s="13" t="s">
        <v>556</v>
      </c>
      <c r="C10" s="13" t="s">
        <v>63</v>
      </c>
      <c r="D10" s="671">
        <f>'TANAH BANGUNAN'!M46</f>
        <v>356725000</v>
      </c>
      <c r="E10" s="84"/>
      <c r="F10" s="434" t="s">
        <v>367</v>
      </c>
      <c r="G10" s="87" t="s">
        <v>402</v>
      </c>
      <c r="H10" s="212">
        <f>D13</f>
        <v>10</v>
      </c>
      <c r="I10" s="212"/>
      <c r="J10" s="467"/>
      <c r="K10" s="263"/>
    </row>
    <row r="11" spans="1:11" x14ac:dyDescent="0.25">
      <c r="A11" s="264"/>
      <c r="B11" s="18" t="s">
        <v>200</v>
      </c>
      <c r="C11" s="13" t="s">
        <v>63</v>
      </c>
      <c r="D11" s="90">
        <f>'TANAH BANGUNAN'!Q46</f>
        <v>1489400000</v>
      </c>
      <c r="E11" s="86"/>
      <c r="F11" s="435" t="s">
        <v>407</v>
      </c>
      <c r="G11" s="11" t="s">
        <v>406</v>
      </c>
      <c r="H11" s="212"/>
      <c r="I11" s="212"/>
      <c r="J11" s="467"/>
      <c r="K11" s="263"/>
    </row>
    <row r="12" spans="1:11" ht="15.6" customHeight="1" x14ac:dyDescent="0.25">
      <c r="A12" s="264"/>
      <c r="B12" s="18" t="s">
        <v>51</v>
      </c>
      <c r="C12" s="13" t="s">
        <v>63</v>
      </c>
      <c r="D12" s="90">
        <f>'TANAH BANGUNAN'!Q47</f>
        <v>1042579999.9999999</v>
      </c>
      <c r="E12" s="86"/>
      <c r="F12" s="464" t="s">
        <v>442</v>
      </c>
      <c r="G12" s="230" t="s">
        <v>443</v>
      </c>
      <c r="H12" s="42"/>
      <c r="I12" s="42"/>
      <c r="J12" s="464"/>
      <c r="K12" s="263"/>
    </row>
    <row r="13" spans="1:11" x14ac:dyDescent="0.25">
      <c r="A13" s="264"/>
      <c r="B13" s="18" t="s">
        <v>211</v>
      </c>
      <c r="C13" s="13" t="s">
        <v>63</v>
      </c>
      <c r="D13" s="85">
        <f>'DATA AWAL NASABAH'!B31</f>
        <v>10</v>
      </c>
      <c r="E13" s="88"/>
      <c r="F13" s="434"/>
      <c r="G13" s="87"/>
      <c r="H13" s="87"/>
      <c r="I13" s="87"/>
      <c r="J13" s="467"/>
      <c r="K13" s="263"/>
    </row>
    <row r="14" spans="1:11" ht="14.25" x14ac:dyDescent="0.3">
      <c r="A14" s="264"/>
      <c r="B14" s="13" t="s">
        <v>216</v>
      </c>
      <c r="C14" s="11" t="s">
        <v>63</v>
      </c>
      <c r="D14" s="670" t="str">
        <f>'DATA AWAL NASABAH'!B29</f>
        <v>INVESTASI PEMBELIAN TANAH</v>
      </c>
      <c r="E14" s="86"/>
      <c r="F14" s="434"/>
      <c r="G14" s="87"/>
      <c r="H14" s="87"/>
      <c r="I14" s="87"/>
      <c r="J14" s="467"/>
      <c r="K14" s="263"/>
    </row>
    <row r="15" spans="1:11" x14ac:dyDescent="0.25">
      <c r="A15" s="264"/>
      <c r="B15" s="13" t="s">
        <v>176</v>
      </c>
      <c r="C15" s="13" t="s">
        <v>63</v>
      </c>
      <c r="D15" s="396">
        <f>'DATA AWAL NASABAH'!B18</f>
        <v>2000000000</v>
      </c>
      <c r="E15" s="86"/>
      <c r="F15" s="434"/>
      <c r="G15" s="87"/>
      <c r="H15" s="87"/>
      <c r="I15" s="87"/>
      <c r="J15" s="467"/>
      <c r="K15" s="263"/>
    </row>
    <row r="16" spans="1:11" ht="14.25" thickBot="1" x14ac:dyDescent="0.3">
      <c r="A16" s="264"/>
      <c r="B16" s="13" t="s">
        <v>177</v>
      </c>
      <c r="C16" s="13" t="s">
        <v>63</v>
      </c>
      <c r="D16" s="397">
        <f>'DATA AWAL NASABAH'!B19</f>
        <v>12</v>
      </c>
      <c r="E16" s="86"/>
      <c r="F16" s="434"/>
      <c r="G16" s="13"/>
      <c r="H16" s="13"/>
      <c r="I16" s="13"/>
      <c r="J16" s="468"/>
      <c r="K16" s="263"/>
    </row>
    <row r="17" spans="1:16" ht="14.25" thickBot="1" x14ac:dyDescent="0.3">
      <c r="A17" s="264"/>
      <c r="B17" s="166" t="s">
        <v>212</v>
      </c>
      <c r="C17" s="166" t="s">
        <v>63</v>
      </c>
      <c r="D17" s="172" t="s">
        <v>368</v>
      </c>
      <c r="E17" s="89"/>
      <c r="F17" s="465"/>
      <c r="G17" s="13"/>
      <c r="H17" s="13"/>
      <c r="I17" s="13"/>
      <c r="J17" s="470" t="str">
        <f>'DATA AWAL NASABAH'!B30</f>
        <v>ADRIAN WAHYU P</v>
      </c>
      <c r="K17" s="263"/>
    </row>
    <row r="18" spans="1:16" ht="14.25" thickBot="1" x14ac:dyDescent="0.3">
      <c r="A18" s="264"/>
      <c r="B18" s="397" t="s">
        <v>369</v>
      </c>
      <c r="C18" s="397" t="s">
        <v>63</v>
      </c>
      <c r="D18" s="398">
        <f>'DATA AWAL NASABAH'!B20</f>
        <v>1.4999999999999999E-2</v>
      </c>
      <c r="E18" s="86"/>
      <c r="F18" s="466"/>
      <c r="G18" s="462"/>
      <c r="H18" s="463"/>
      <c r="I18" s="463"/>
      <c r="J18" s="471" t="s">
        <v>511</v>
      </c>
      <c r="K18" s="263"/>
    </row>
    <row r="19" spans="1:16" x14ac:dyDescent="0.25">
      <c r="A19" s="264"/>
      <c r="B19" s="166" t="s">
        <v>426</v>
      </c>
      <c r="C19" s="166" t="s">
        <v>63</v>
      </c>
      <c r="D19" s="172">
        <f>D15/D16</f>
        <v>166666666.66666666</v>
      </c>
      <c r="E19" s="86"/>
      <c r="F19" s="11"/>
      <c r="G19" s="11"/>
      <c r="H19" s="11"/>
      <c r="I19" s="11"/>
      <c r="J19" s="11"/>
      <c r="K19" s="263"/>
    </row>
    <row r="20" spans="1:16" x14ac:dyDescent="0.25">
      <c r="A20" s="264"/>
      <c r="B20" s="166" t="s">
        <v>214</v>
      </c>
      <c r="C20" s="166" t="s">
        <v>63</v>
      </c>
      <c r="D20" s="173">
        <f>D15*D18</f>
        <v>30000000</v>
      </c>
      <c r="E20" s="11"/>
      <c r="F20" s="11"/>
      <c r="G20" s="11"/>
      <c r="H20" s="11"/>
      <c r="I20" s="11"/>
      <c r="J20" s="11"/>
      <c r="K20" s="263"/>
    </row>
    <row r="21" spans="1:16" x14ac:dyDescent="0.25">
      <c r="A21" s="264"/>
      <c r="B21" s="167" t="s">
        <v>427</v>
      </c>
      <c r="C21" s="168" t="s">
        <v>63</v>
      </c>
      <c r="D21" s="169">
        <f>D19+D20</f>
        <v>196666666.66666666</v>
      </c>
      <c r="E21" s="86"/>
      <c r="F21" s="429"/>
      <c r="G21" s="11"/>
      <c r="H21" s="11"/>
      <c r="I21" s="11"/>
      <c r="J21" s="11"/>
      <c r="K21" s="263"/>
    </row>
    <row r="22" spans="1:16" x14ac:dyDescent="0.25">
      <c r="A22" s="264"/>
      <c r="B22" s="11"/>
      <c r="C22" s="11"/>
      <c r="D22" s="11"/>
      <c r="E22" s="11"/>
      <c r="F22" s="429"/>
      <c r="G22" s="11"/>
      <c r="H22" s="11"/>
      <c r="I22" s="11"/>
      <c r="J22" s="11"/>
      <c r="K22" s="263"/>
    </row>
    <row r="23" spans="1:16" ht="14.25" thickBot="1" x14ac:dyDescent="0.3">
      <c r="A23" s="264"/>
      <c r="B23" s="17" t="s">
        <v>523</v>
      </c>
      <c r="C23" s="11"/>
      <c r="D23" s="11"/>
      <c r="E23" s="11"/>
      <c r="F23" s="11"/>
      <c r="G23" s="11"/>
      <c r="H23" s="11"/>
      <c r="I23" s="11"/>
      <c r="J23" s="11"/>
      <c r="K23" s="263"/>
      <c r="O23" s="13"/>
      <c r="P23" s="13"/>
    </row>
    <row r="24" spans="1:16" ht="14.25" thickBot="1" x14ac:dyDescent="0.3">
      <c r="A24" s="264"/>
      <c r="B24" s="354"/>
      <c r="C24" s="291"/>
      <c r="D24" s="291"/>
      <c r="E24" s="291"/>
      <c r="F24" s="291"/>
      <c r="G24" s="291"/>
      <c r="H24" s="291"/>
      <c r="I24" s="291"/>
      <c r="J24" s="451" t="s">
        <v>3</v>
      </c>
      <c r="K24" s="263"/>
      <c r="O24" s="13"/>
      <c r="P24" s="13"/>
    </row>
    <row r="25" spans="1:16" x14ac:dyDescent="0.25">
      <c r="A25" s="264"/>
      <c r="B25" s="264"/>
      <c r="C25" s="11"/>
      <c r="D25" s="11"/>
      <c r="E25" s="11"/>
      <c r="F25" s="11"/>
      <c r="G25" s="11"/>
      <c r="H25" s="11"/>
      <c r="I25" s="11"/>
      <c r="J25" s="448"/>
      <c r="K25" s="263"/>
      <c r="O25" s="13"/>
      <c r="P25" s="13"/>
    </row>
    <row r="26" spans="1:16" x14ac:dyDescent="0.25">
      <c r="A26" s="264"/>
      <c r="B26" s="264"/>
      <c r="C26" s="11"/>
      <c r="D26" s="11"/>
      <c r="E26" s="11"/>
      <c r="F26" s="11"/>
      <c r="G26" s="11"/>
      <c r="H26" s="11"/>
      <c r="I26" s="11"/>
      <c r="J26" s="435"/>
      <c r="K26" s="263"/>
      <c r="O26" s="18"/>
      <c r="P26" s="13"/>
    </row>
    <row r="27" spans="1:16" x14ac:dyDescent="0.25">
      <c r="A27" s="264"/>
      <c r="B27" s="264"/>
      <c r="C27" s="11"/>
      <c r="D27" s="11"/>
      <c r="E27" s="11"/>
      <c r="F27" s="11"/>
      <c r="G27" s="11"/>
      <c r="H27" s="11"/>
      <c r="I27" s="11"/>
      <c r="J27" s="435"/>
      <c r="K27" s="263"/>
      <c r="O27" s="18"/>
      <c r="P27" s="13"/>
    </row>
    <row r="28" spans="1:16" x14ac:dyDescent="0.25">
      <c r="A28" s="264"/>
      <c r="B28" s="264"/>
      <c r="C28" s="11"/>
      <c r="D28" s="11"/>
      <c r="E28" s="11"/>
      <c r="F28" s="11"/>
      <c r="G28" s="11"/>
      <c r="H28" s="11"/>
      <c r="I28" s="11"/>
      <c r="J28" s="435"/>
      <c r="K28" s="263"/>
      <c r="O28" s="18"/>
      <c r="P28" s="13"/>
    </row>
    <row r="29" spans="1:16" x14ac:dyDescent="0.25">
      <c r="A29" s="264"/>
      <c r="B29" s="264"/>
      <c r="C29" s="11"/>
      <c r="D29" s="11"/>
      <c r="E29" s="11"/>
      <c r="F29" s="11"/>
      <c r="G29" s="11"/>
      <c r="H29" s="11"/>
      <c r="I29" s="11"/>
      <c r="J29" s="435"/>
      <c r="K29" s="263"/>
      <c r="O29" s="13"/>
      <c r="P29" s="13"/>
    </row>
    <row r="30" spans="1:16" ht="14.25" thickBot="1" x14ac:dyDescent="0.3">
      <c r="A30" s="264"/>
      <c r="B30" s="264"/>
      <c r="C30" s="11"/>
      <c r="D30" s="11"/>
      <c r="E30" s="11"/>
      <c r="F30" s="11"/>
      <c r="G30" s="11"/>
      <c r="H30" s="11"/>
      <c r="I30" s="11"/>
      <c r="J30" s="435"/>
      <c r="K30" s="263"/>
      <c r="O30" s="13"/>
      <c r="P30" s="13"/>
    </row>
    <row r="31" spans="1:16" ht="14.25" thickBot="1" x14ac:dyDescent="0.3">
      <c r="A31" s="264"/>
      <c r="B31" s="264"/>
      <c r="C31" s="11"/>
      <c r="D31" s="11"/>
      <c r="E31" s="11"/>
      <c r="F31" s="11"/>
      <c r="G31" s="11"/>
      <c r="H31" s="11"/>
      <c r="I31" s="11"/>
      <c r="J31" s="469" t="s">
        <v>561</v>
      </c>
      <c r="K31" s="263"/>
      <c r="O31" s="13"/>
      <c r="P31" s="13"/>
    </row>
    <row r="32" spans="1:16" ht="14.25" thickBot="1" x14ac:dyDescent="0.3">
      <c r="A32" s="264"/>
      <c r="B32" s="301"/>
      <c r="C32" s="267"/>
      <c r="D32" s="267"/>
      <c r="E32" s="267"/>
      <c r="F32" s="267"/>
      <c r="G32" s="267"/>
      <c r="H32" s="267"/>
      <c r="I32" s="267"/>
      <c r="J32" s="451" t="s">
        <v>512</v>
      </c>
      <c r="K32" s="263"/>
      <c r="O32" s="13"/>
      <c r="P32" s="13"/>
    </row>
    <row r="33" spans="1:11" s="382" customFormat="1" ht="17.25" x14ac:dyDescent="0.3">
      <c r="A33" s="264"/>
      <c r="B33" s="11"/>
      <c r="C33" s="11"/>
      <c r="D33" s="11"/>
      <c r="E33" s="11"/>
      <c r="F33" s="11"/>
      <c r="G33" s="11"/>
      <c r="H33" s="11"/>
      <c r="I33" s="11"/>
      <c r="J33" s="11"/>
      <c r="K33" s="263"/>
    </row>
    <row r="34" spans="1:11" ht="18" thickBot="1" x14ac:dyDescent="0.35">
      <c r="A34" s="273"/>
      <c r="B34" s="17" t="s">
        <v>523</v>
      </c>
      <c r="C34" s="274"/>
      <c r="D34" s="274"/>
      <c r="E34" s="274"/>
      <c r="F34" s="274"/>
      <c r="G34" s="274"/>
      <c r="H34" s="274"/>
      <c r="I34" s="274"/>
      <c r="J34" s="274"/>
      <c r="K34" s="279"/>
    </row>
    <row r="35" spans="1:11" ht="15.75" customHeight="1" thickBot="1" x14ac:dyDescent="0.3">
      <c r="A35" s="264"/>
      <c r="B35" s="472"/>
      <c r="C35" s="291"/>
      <c r="D35" s="291"/>
      <c r="E35" s="291"/>
      <c r="F35" s="292"/>
      <c r="G35" s="291"/>
      <c r="H35" s="291"/>
      <c r="I35" s="291"/>
      <c r="J35" s="477" t="s">
        <v>4</v>
      </c>
      <c r="K35" s="263"/>
    </row>
    <row r="36" spans="1:11" ht="15.75" customHeight="1" x14ac:dyDescent="0.25">
      <c r="A36" s="264"/>
      <c r="B36" s="473"/>
      <c r="C36" s="13"/>
      <c r="D36" s="13"/>
      <c r="E36" s="13"/>
      <c r="F36" s="429"/>
      <c r="G36" s="13"/>
      <c r="H36" s="13"/>
      <c r="I36" s="13"/>
      <c r="J36" s="478"/>
      <c r="K36" s="263"/>
    </row>
    <row r="37" spans="1:11" ht="15.75" customHeight="1" x14ac:dyDescent="0.25">
      <c r="A37" s="264"/>
      <c r="B37" s="474"/>
      <c r="C37" s="13"/>
      <c r="D37" s="13"/>
      <c r="E37" s="13"/>
      <c r="F37" s="429"/>
      <c r="G37" s="13"/>
      <c r="H37" s="13"/>
      <c r="I37" s="13"/>
      <c r="J37" s="478"/>
      <c r="K37" s="263"/>
    </row>
    <row r="38" spans="1:11" ht="15.75" customHeight="1" x14ac:dyDescent="0.25">
      <c r="A38" s="264"/>
      <c r="B38" s="474"/>
      <c r="C38" s="13"/>
      <c r="D38" s="13"/>
      <c r="E38" s="13"/>
      <c r="F38" s="429"/>
      <c r="G38" s="13"/>
      <c r="H38" s="13"/>
      <c r="I38" s="13"/>
      <c r="J38" s="478"/>
      <c r="K38" s="263"/>
    </row>
    <row r="39" spans="1:11" ht="15.75" customHeight="1" x14ac:dyDescent="0.25">
      <c r="A39" s="264"/>
      <c r="B39" s="474"/>
      <c r="C39" s="13"/>
      <c r="D39" s="13"/>
      <c r="E39" s="13"/>
      <c r="F39" s="429"/>
      <c r="G39" s="13"/>
      <c r="H39" s="13"/>
      <c r="I39" s="13"/>
      <c r="J39" s="478"/>
      <c r="K39" s="263"/>
    </row>
    <row r="40" spans="1:11" ht="15.75" customHeight="1" thickBot="1" x14ac:dyDescent="0.3">
      <c r="A40" s="264"/>
      <c r="B40" s="474"/>
      <c r="C40" s="13"/>
      <c r="D40" s="13"/>
      <c r="E40" s="13"/>
      <c r="F40" s="429"/>
      <c r="G40" s="13"/>
      <c r="H40" s="13"/>
      <c r="I40" s="13"/>
      <c r="J40" s="478"/>
      <c r="K40" s="263"/>
    </row>
    <row r="41" spans="1:11" ht="15.75" customHeight="1" thickBot="1" x14ac:dyDescent="0.3">
      <c r="A41" s="264"/>
      <c r="B41" s="474"/>
      <c r="C41" s="13"/>
      <c r="D41" s="13"/>
      <c r="E41" s="13"/>
      <c r="F41" s="429"/>
      <c r="G41" s="13"/>
      <c r="H41" s="13"/>
      <c r="I41" s="13"/>
      <c r="J41" s="477" t="s">
        <v>570</v>
      </c>
      <c r="K41" s="263"/>
    </row>
    <row r="42" spans="1:11" ht="15.75" customHeight="1" thickBot="1" x14ac:dyDescent="0.3">
      <c r="A42" s="264"/>
      <c r="B42" s="475"/>
      <c r="C42" s="476"/>
      <c r="D42" s="476"/>
      <c r="E42" s="476"/>
      <c r="F42" s="268"/>
      <c r="G42" s="476"/>
      <c r="H42" s="476"/>
      <c r="I42" s="476"/>
      <c r="J42" s="479" t="s">
        <v>500</v>
      </c>
      <c r="K42" s="263"/>
    </row>
    <row r="43" spans="1:11" ht="15" customHeight="1" x14ac:dyDescent="0.25">
      <c r="A43" s="264"/>
      <c r="B43" s="13"/>
      <c r="C43" s="13"/>
      <c r="D43" s="13"/>
      <c r="E43" s="13"/>
      <c r="F43" s="429"/>
      <c r="G43" s="13"/>
      <c r="H43" s="13"/>
      <c r="I43" s="13"/>
      <c r="J43" s="20"/>
      <c r="K43" s="263"/>
    </row>
    <row r="44" spans="1:11" s="486" customFormat="1" ht="24" x14ac:dyDescent="0.35">
      <c r="A44" s="264"/>
      <c r="B44" s="12" t="s">
        <v>158</v>
      </c>
      <c r="C44" s="12" t="s">
        <v>63</v>
      </c>
      <c r="D44" s="618" t="s">
        <v>217</v>
      </c>
      <c r="E44" s="17" t="s">
        <v>449</v>
      </c>
      <c r="F44" s="837" t="s">
        <v>167</v>
      </c>
      <c r="G44" s="837"/>
      <c r="H44" s="12" t="s">
        <v>449</v>
      </c>
      <c r="I44" s="837" t="s">
        <v>525</v>
      </c>
      <c r="J44" s="837"/>
      <c r="K44" s="263"/>
    </row>
    <row r="45" spans="1:11" s="486" customFormat="1" ht="24" x14ac:dyDescent="0.35">
      <c r="A45" s="480"/>
      <c r="B45" s="13" t="s">
        <v>138</v>
      </c>
      <c r="C45" s="13" t="s">
        <v>63</v>
      </c>
      <c r="D45" s="481"/>
      <c r="E45" s="481"/>
      <c r="F45" s="482"/>
      <c r="G45" s="483"/>
      <c r="H45" s="484"/>
      <c r="I45" s="484"/>
      <c r="J45" s="484"/>
      <c r="K45" s="485"/>
    </row>
    <row r="46" spans="1:11" s="486" customFormat="1" ht="24" x14ac:dyDescent="0.35">
      <c r="A46" s="480"/>
      <c r="B46" s="13" t="s">
        <v>210</v>
      </c>
      <c r="C46" s="13" t="s">
        <v>63</v>
      </c>
      <c r="D46" s="487"/>
      <c r="E46" s="488"/>
      <c r="F46" s="482"/>
      <c r="G46" s="484"/>
      <c r="H46" s="484"/>
      <c r="I46" s="484"/>
      <c r="J46" s="484"/>
      <c r="K46" s="485"/>
    </row>
    <row r="47" spans="1:11" s="486" customFormat="1" ht="24" x14ac:dyDescent="0.35">
      <c r="A47" s="480"/>
      <c r="B47" s="13" t="s">
        <v>556</v>
      </c>
      <c r="C47" s="13" t="s">
        <v>63</v>
      </c>
      <c r="D47" s="487"/>
      <c r="E47" s="488"/>
      <c r="F47" s="482"/>
      <c r="G47" s="484"/>
      <c r="H47" s="484"/>
      <c r="I47" s="484"/>
      <c r="J47" s="484"/>
      <c r="K47" s="485"/>
    </row>
    <row r="48" spans="1:11" s="486" customFormat="1" ht="24" x14ac:dyDescent="0.35">
      <c r="A48" s="480"/>
      <c r="B48" s="18" t="s">
        <v>200</v>
      </c>
      <c r="C48" s="13" t="s">
        <v>63</v>
      </c>
      <c r="D48" s="489"/>
      <c r="E48" s="490"/>
      <c r="F48" s="482"/>
      <c r="G48" s="484"/>
      <c r="H48" s="484"/>
      <c r="I48" s="484"/>
      <c r="J48" s="484"/>
      <c r="K48" s="485"/>
    </row>
    <row r="49" spans="1:11" s="486" customFormat="1" ht="24" x14ac:dyDescent="0.35">
      <c r="A49" s="480"/>
      <c r="B49" s="18" t="str">
        <f>B12</f>
        <v>Nilai Taksasi</v>
      </c>
      <c r="C49" s="13" t="s">
        <v>63</v>
      </c>
      <c r="D49" s="489"/>
      <c r="E49" s="490"/>
      <c r="F49" s="482"/>
      <c r="G49" s="484"/>
      <c r="H49" s="484"/>
      <c r="I49" s="484"/>
      <c r="J49" s="484"/>
      <c r="K49" s="485"/>
    </row>
    <row r="50" spans="1:11" s="486" customFormat="1" ht="24" x14ac:dyDescent="0.35">
      <c r="A50" s="480"/>
      <c r="B50" s="18" t="s">
        <v>211</v>
      </c>
      <c r="C50" s="13" t="s">
        <v>63</v>
      </c>
      <c r="D50" s="487"/>
      <c r="E50" s="488"/>
      <c r="F50" s="482"/>
      <c r="G50" s="484"/>
      <c r="H50" s="484"/>
      <c r="I50" s="484"/>
      <c r="J50" s="484"/>
      <c r="K50" s="485"/>
    </row>
    <row r="51" spans="1:11" s="486" customFormat="1" ht="24" x14ac:dyDescent="0.35">
      <c r="A51" s="480"/>
      <c r="B51" s="13" t="s">
        <v>216</v>
      </c>
      <c r="C51" s="11" t="s">
        <v>63</v>
      </c>
      <c r="D51" s="487"/>
      <c r="E51" s="488"/>
      <c r="F51" s="482"/>
      <c r="G51" s="484"/>
      <c r="H51" s="484"/>
      <c r="I51" s="484"/>
      <c r="J51" s="484"/>
      <c r="K51" s="485"/>
    </row>
    <row r="52" spans="1:11" s="486" customFormat="1" ht="24" x14ac:dyDescent="0.35">
      <c r="A52" s="480"/>
      <c r="B52" s="13" t="s">
        <v>176</v>
      </c>
      <c r="C52" s="13" t="s">
        <v>63</v>
      </c>
      <c r="D52" s="487"/>
      <c r="E52" s="488"/>
      <c r="F52" s="482"/>
      <c r="G52" s="484"/>
      <c r="H52" s="484"/>
      <c r="I52" s="484"/>
      <c r="J52" s="484"/>
      <c r="K52" s="485"/>
    </row>
    <row r="53" spans="1:11" s="486" customFormat="1" ht="24" x14ac:dyDescent="0.35">
      <c r="A53" s="480"/>
      <c r="B53" s="13" t="s">
        <v>177</v>
      </c>
      <c r="C53" s="13" t="s">
        <v>63</v>
      </c>
      <c r="D53" s="487"/>
      <c r="E53" s="488"/>
      <c r="F53" s="482"/>
      <c r="G53" s="484"/>
      <c r="H53" s="484"/>
      <c r="I53" s="484"/>
      <c r="J53" s="484"/>
      <c r="K53" s="485"/>
    </row>
    <row r="54" spans="1:11" s="486" customFormat="1" ht="24" x14ac:dyDescent="0.35">
      <c r="A54" s="480"/>
      <c r="B54" s="166" t="s">
        <v>212</v>
      </c>
      <c r="C54" s="166" t="s">
        <v>63</v>
      </c>
      <c r="D54" s="487"/>
      <c r="E54" s="492"/>
      <c r="F54" s="482"/>
      <c r="G54" s="484"/>
      <c r="H54" s="484"/>
      <c r="I54" s="484"/>
      <c r="J54" s="484"/>
      <c r="K54" s="485"/>
    </row>
    <row r="55" spans="1:11" s="486" customFormat="1" ht="24" x14ac:dyDescent="0.35">
      <c r="A55" s="480"/>
      <c r="B55" s="397" t="s">
        <v>369</v>
      </c>
      <c r="C55" s="397" t="s">
        <v>63</v>
      </c>
      <c r="D55" s="487"/>
      <c r="E55" s="491"/>
      <c r="F55" s="482"/>
      <c r="G55" s="484"/>
      <c r="H55" s="484"/>
      <c r="I55" s="484"/>
      <c r="J55" s="484"/>
      <c r="K55" s="485"/>
    </row>
    <row r="56" spans="1:11" s="486" customFormat="1" ht="24" x14ac:dyDescent="0.35">
      <c r="A56" s="480"/>
      <c r="B56" s="166" t="s">
        <v>213</v>
      </c>
      <c r="C56" s="166" t="s">
        <v>63</v>
      </c>
      <c r="D56" s="493"/>
      <c r="E56" s="488"/>
      <c r="F56" s="482"/>
      <c r="G56" s="484"/>
      <c r="H56" s="484"/>
      <c r="I56" s="484"/>
      <c r="J56" s="484"/>
      <c r="K56" s="485"/>
    </row>
    <row r="57" spans="1:11" s="486" customFormat="1" ht="24" x14ac:dyDescent="0.35">
      <c r="A57" s="480"/>
      <c r="B57" s="166" t="s">
        <v>214</v>
      </c>
      <c r="C57" s="166" t="s">
        <v>63</v>
      </c>
      <c r="D57" s="487"/>
      <c r="E57" s="491"/>
      <c r="F57" s="494"/>
      <c r="G57" s="484"/>
      <c r="H57" s="484"/>
      <c r="I57" s="484"/>
      <c r="J57" s="484"/>
      <c r="K57" s="485"/>
    </row>
    <row r="58" spans="1:11" ht="24" x14ac:dyDescent="0.35">
      <c r="A58" s="480"/>
      <c r="B58" s="167" t="s">
        <v>215</v>
      </c>
      <c r="C58" s="168" t="s">
        <v>63</v>
      </c>
      <c r="D58" s="495"/>
      <c r="E58" s="491"/>
      <c r="F58" s="496"/>
      <c r="G58" s="491"/>
      <c r="H58" s="491"/>
      <c r="I58" s="491"/>
      <c r="J58" s="497"/>
      <c r="K58" s="485"/>
    </row>
    <row r="59" spans="1:11" x14ac:dyDescent="0.25">
      <c r="A59" s="264"/>
      <c r="B59" s="11"/>
      <c r="C59" s="11"/>
      <c r="D59" s="11"/>
      <c r="E59" s="11"/>
      <c r="F59" s="429"/>
      <c r="G59" s="11"/>
      <c r="H59" s="11"/>
      <c r="I59" s="11"/>
      <c r="J59" s="11"/>
      <c r="K59" s="263"/>
    </row>
    <row r="60" spans="1:11" ht="14.25" thickBot="1" x14ac:dyDescent="0.3">
      <c r="A60" s="264"/>
      <c r="B60" s="17" t="s">
        <v>169</v>
      </c>
      <c r="C60" s="11"/>
      <c r="D60" s="11"/>
      <c r="E60" s="11"/>
      <c r="F60" s="429"/>
      <c r="G60" s="11"/>
      <c r="H60" s="11"/>
      <c r="I60" s="11"/>
      <c r="J60" s="11"/>
      <c r="K60" s="263"/>
    </row>
    <row r="61" spans="1:11" ht="14.25" thickBot="1" x14ac:dyDescent="0.3">
      <c r="A61" s="264"/>
      <c r="B61" s="354"/>
      <c r="C61" s="291"/>
      <c r="D61" s="291"/>
      <c r="E61" s="291"/>
      <c r="F61" s="292"/>
      <c r="G61" s="291"/>
      <c r="H61" s="291"/>
      <c r="I61" s="291"/>
      <c r="J61" s="451" t="s">
        <v>4</v>
      </c>
      <c r="K61" s="263"/>
    </row>
    <row r="62" spans="1:11" x14ac:dyDescent="0.25">
      <c r="A62" s="264"/>
      <c r="B62" s="264"/>
      <c r="C62" s="11"/>
      <c r="D62" s="11"/>
      <c r="E62" s="11"/>
      <c r="F62" s="429"/>
      <c r="G62" s="11"/>
      <c r="H62" s="11"/>
      <c r="I62" s="11"/>
      <c r="J62" s="449"/>
      <c r="K62" s="263"/>
    </row>
    <row r="63" spans="1:11" x14ac:dyDescent="0.25">
      <c r="A63" s="264"/>
      <c r="B63" s="264"/>
      <c r="C63" s="11"/>
      <c r="D63" s="11"/>
      <c r="E63" s="11"/>
      <c r="F63" s="429"/>
      <c r="G63" s="11"/>
      <c r="H63" s="11"/>
      <c r="I63" s="11"/>
      <c r="J63" s="449"/>
      <c r="K63" s="263"/>
    </row>
    <row r="64" spans="1:11" x14ac:dyDescent="0.25">
      <c r="A64" s="264"/>
      <c r="B64" s="264"/>
      <c r="C64" s="11"/>
      <c r="D64" s="11"/>
      <c r="E64" s="11"/>
      <c r="F64" s="429"/>
      <c r="G64" s="11"/>
      <c r="H64" s="11"/>
      <c r="I64" s="11"/>
      <c r="J64" s="449"/>
      <c r="K64" s="263"/>
    </row>
    <row r="65" spans="1:11" x14ac:dyDescent="0.25">
      <c r="A65" s="264"/>
      <c r="B65" s="264"/>
      <c r="C65" s="11"/>
      <c r="D65" s="11"/>
      <c r="E65" s="11"/>
      <c r="F65" s="429"/>
      <c r="G65" s="11"/>
      <c r="H65" s="11"/>
      <c r="I65" s="11"/>
      <c r="J65" s="449"/>
      <c r="K65" s="263"/>
    </row>
    <row r="66" spans="1:11" x14ac:dyDescent="0.25">
      <c r="A66" s="264"/>
      <c r="B66" s="264"/>
      <c r="C66" s="11"/>
      <c r="D66" s="11"/>
      <c r="E66" s="11"/>
      <c r="F66" s="429"/>
      <c r="G66" s="11"/>
      <c r="H66" s="11"/>
      <c r="I66" s="11"/>
      <c r="J66" s="449"/>
      <c r="K66" s="263"/>
    </row>
    <row r="67" spans="1:11" x14ac:dyDescent="0.25">
      <c r="A67" s="264"/>
      <c r="B67" s="264"/>
      <c r="C67" s="11"/>
      <c r="D67" s="11"/>
      <c r="E67" s="11"/>
      <c r="F67" s="429"/>
      <c r="G67" s="11"/>
      <c r="H67" s="11"/>
      <c r="I67" s="11"/>
      <c r="J67" s="449"/>
      <c r="K67" s="263"/>
    </row>
    <row r="68" spans="1:11" x14ac:dyDescent="0.25">
      <c r="A68" s="264"/>
      <c r="B68" s="264"/>
      <c r="C68" s="11"/>
      <c r="D68" s="11"/>
      <c r="E68" s="11"/>
      <c r="F68" s="429"/>
      <c r="G68" s="11"/>
      <c r="H68" s="11"/>
      <c r="I68" s="11"/>
      <c r="J68" s="449"/>
      <c r="K68" s="263"/>
    </row>
    <row r="69" spans="1:11" ht="14.25" thickBot="1" x14ac:dyDescent="0.3">
      <c r="A69" s="264"/>
      <c r="B69" s="264"/>
      <c r="C69" s="11"/>
      <c r="D69" s="11"/>
      <c r="E69" s="11"/>
      <c r="F69" s="429"/>
      <c r="G69" s="11"/>
      <c r="H69" s="11"/>
      <c r="I69" s="11"/>
      <c r="J69" s="449"/>
      <c r="K69" s="263"/>
    </row>
    <row r="70" spans="1:11" ht="14.25" thickBot="1" x14ac:dyDescent="0.3">
      <c r="A70" s="264"/>
      <c r="B70" s="264"/>
      <c r="C70" s="11"/>
      <c r="D70" s="11"/>
      <c r="E70" s="11"/>
      <c r="F70" s="429"/>
      <c r="G70" s="11"/>
      <c r="H70" s="11"/>
      <c r="I70" s="11"/>
      <c r="J70" s="451" t="s">
        <v>522</v>
      </c>
      <c r="K70" s="263"/>
    </row>
    <row r="71" spans="1:11" ht="14.25" thickBot="1" x14ac:dyDescent="0.3">
      <c r="A71" s="264"/>
      <c r="B71" s="301"/>
      <c r="C71" s="267"/>
      <c r="D71" s="267"/>
      <c r="E71" s="267"/>
      <c r="F71" s="268"/>
      <c r="G71" s="267"/>
      <c r="H71" s="267"/>
      <c r="I71" s="267"/>
      <c r="J71" s="450" t="s">
        <v>12</v>
      </c>
      <c r="K71" s="263"/>
    </row>
    <row r="72" spans="1:11" ht="14.25" thickBot="1" x14ac:dyDescent="0.3">
      <c r="A72" s="301"/>
      <c r="B72" s="267"/>
      <c r="C72" s="267"/>
      <c r="D72" s="267"/>
      <c r="E72" s="267"/>
      <c r="F72" s="268"/>
      <c r="G72" s="267"/>
      <c r="H72" s="267"/>
      <c r="I72" s="267"/>
      <c r="J72" s="267"/>
      <c r="K72" s="265"/>
    </row>
  </sheetData>
  <mergeCells count="5">
    <mergeCell ref="F44:G44"/>
    <mergeCell ref="I44:J44"/>
    <mergeCell ref="D2:F2"/>
    <mergeCell ref="D4:F4"/>
    <mergeCell ref="B5:J5"/>
  </mergeCells>
  <pageMargins left="0.38" right="7.0000000000000007E-2" top="0.09" bottom="0.02" header="0.3" footer="0.3"/>
  <pageSetup paperSize="9" scale="72" orientation="portrait" horizontalDpi="4294967293" verticalDpi="18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026CF-91BC-45B8-AEF7-A63512CD1C13}">
  <sheetPr>
    <tabColor rgb="FFFF0000"/>
    <pageSetUpPr fitToPage="1"/>
  </sheetPr>
  <dimension ref="A1:N70"/>
  <sheetViews>
    <sheetView topLeftCell="A10" workbookViewId="0">
      <selection activeCell="D8" sqref="D8"/>
    </sheetView>
  </sheetViews>
  <sheetFormatPr defaultColWidth="8.85546875" defaultRowHeight="13.5" x14ac:dyDescent="0.25"/>
  <cols>
    <col min="1" max="1" width="2.140625" style="2" customWidth="1"/>
    <col min="2" max="2" width="21.7109375" style="2" customWidth="1"/>
    <col min="3" max="3" width="2.28515625" style="2" customWidth="1"/>
    <col min="4" max="4" width="28.7109375" style="2" customWidth="1"/>
    <col min="5" max="5" width="1.85546875" style="2" customWidth="1"/>
    <col min="6" max="6" width="3.28515625" style="52" customWidth="1"/>
    <col min="7" max="7" width="21.5703125" style="2" customWidth="1"/>
    <col min="8" max="8" width="1.85546875" style="2" bestFit="1" customWidth="1"/>
    <col min="9" max="9" width="32.7109375" style="2" customWidth="1"/>
    <col min="10" max="10" width="33.140625" style="2" customWidth="1"/>
    <col min="11" max="11" width="2.42578125" style="2" customWidth="1"/>
    <col min="12" max="16384" width="8.85546875" style="2"/>
  </cols>
  <sheetData>
    <row r="1" spans="1:14" x14ac:dyDescent="0.25">
      <c r="A1" s="354"/>
      <c r="B1" s="291"/>
      <c r="C1" s="291"/>
      <c r="D1" s="291"/>
      <c r="E1" s="291"/>
      <c r="F1" s="292"/>
      <c r="G1" s="291"/>
      <c r="H1" s="291"/>
      <c r="I1" s="291"/>
      <c r="J1" s="291"/>
      <c r="K1" s="266"/>
    </row>
    <row r="2" spans="1:14" ht="15" x14ac:dyDescent="0.25">
      <c r="A2" s="264"/>
      <c r="B2" s="365" t="s">
        <v>133</v>
      </c>
      <c r="C2" s="366" t="s">
        <v>63</v>
      </c>
      <c r="D2" s="834" t="str">
        <f>'DATA AWAL NASABAH'!B2</f>
        <v>DYAH RETNO SULISTYOWATI</v>
      </c>
      <c r="E2" s="834"/>
      <c r="F2" s="834"/>
      <c r="G2" s="261"/>
      <c r="H2" s="261"/>
      <c r="I2" s="261"/>
      <c r="J2" s="11"/>
      <c r="K2" s="263"/>
    </row>
    <row r="3" spans="1:14" ht="15" x14ac:dyDescent="0.25">
      <c r="A3" s="264"/>
      <c r="B3" s="365" t="s">
        <v>129</v>
      </c>
      <c r="C3" s="366" t="s">
        <v>63</v>
      </c>
      <c r="D3" s="367" t="str">
        <f>'DATA AWAL NASABAH'!B21</f>
        <v>TOSARI REJO 001/006 JARAKSARI WONOSOBO</v>
      </c>
      <c r="E3" s="367"/>
      <c r="F3" s="367"/>
      <c r="G3" s="261"/>
      <c r="H3" s="261"/>
      <c r="I3" s="261"/>
      <c r="J3" s="11"/>
      <c r="K3" s="263"/>
    </row>
    <row r="4" spans="1:14" ht="15" x14ac:dyDescent="0.25">
      <c r="A4" s="264"/>
      <c r="B4" s="365" t="s">
        <v>393</v>
      </c>
      <c r="C4" s="366" t="s">
        <v>63</v>
      </c>
      <c r="D4" s="834" t="str">
        <f>'DATA AWAL NASABAH'!B4</f>
        <v>PNS</v>
      </c>
      <c r="E4" s="834"/>
      <c r="F4" s="834"/>
      <c r="G4" s="261"/>
      <c r="H4" s="261"/>
      <c r="I4" s="261"/>
      <c r="J4" s="11"/>
      <c r="K4" s="263"/>
    </row>
    <row r="5" spans="1:14" ht="18" x14ac:dyDescent="0.25">
      <c r="A5" s="264"/>
      <c r="B5" s="835" t="s">
        <v>207</v>
      </c>
      <c r="C5" s="835"/>
      <c r="D5" s="835"/>
      <c r="E5" s="835"/>
      <c r="F5" s="835"/>
      <c r="G5" s="835"/>
      <c r="H5" s="835"/>
      <c r="I5" s="835"/>
      <c r="J5" s="835"/>
      <c r="K5" s="263"/>
    </row>
    <row r="6" spans="1:14" x14ac:dyDescent="0.25">
      <c r="A6" s="264"/>
      <c r="B6" s="12"/>
      <c r="C6" s="12"/>
      <c r="D6" s="12"/>
      <c r="E6" s="12"/>
      <c r="F6" s="720"/>
      <c r="G6" s="12"/>
      <c r="H6" s="12"/>
      <c r="I6" s="12"/>
      <c r="J6" s="12"/>
      <c r="K6" s="263"/>
    </row>
    <row r="7" spans="1:14" ht="14.25" thickBot="1" x14ac:dyDescent="0.3">
      <c r="A7" s="264"/>
      <c r="B7" s="17" t="s">
        <v>672</v>
      </c>
      <c r="C7" s="11"/>
      <c r="D7" s="13"/>
      <c r="E7" s="13"/>
      <c r="F7" s="17" t="s">
        <v>673</v>
      </c>
      <c r="G7" s="11"/>
      <c r="H7" s="11"/>
      <c r="I7" s="13"/>
      <c r="J7" s="11"/>
      <c r="K7" s="263"/>
    </row>
    <row r="8" spans="1:14" ht="15.6" customHeight="1" thickBot="1" x14ac:dyDescent="0.3">
      <c r="A8" s="264"/>
      <c r="B8" s="13" t="s">
        <v>138</v>
      </c>
      <c r="C8" s="13" t="s">
        <v>63</v>
      </c>
      <c r="D8" s="617">
        <f>'DATA AWAL NASABAH'!B1</f>
        <v>45986</v>
      </c>
      <c r="E8" s="84"/>
      <c r="F8" s="630"/>
      <c r="G8" s="13" t="s">
        <v>138</v>
      </c>
      <c r="H8" s="13" t="s">
        <v>63</v>
      </c>
      <c r="I8" s="617">
        <f>'DATA AWAL NASABAH'!B1</f>
        <v>45986</v>
      </c>
      <c r="J8" s="446" t="s">
        <v>2</v>
      </c>
      <c r="K8" s="263"/>
    </row>
    <row r="9" spans="1:14" ht="15.6" customHeight="1" x14ac:dyDescent="0.25">
      <c r="A9" s="264"/>
      <c r="B9" s="13" t="s">
        <v>210</v>
      </c>
      <c r="C9" s="13" t="s">
        <v>63</v>
      </c>
      <c r="D9" s="383" t="str">
        <f>'TANAH BANGUNAN'!M16</f>
        <v>SHM/NO.01565</v>
      </c>
      <c r="E9" s="84"/>
      <c r="F9" s="630"/>
      <c r="G9" s="13" t="s">
        <v>210</v>
      </c>
      <c r="H9" s="13" t="s">
        <v>63</v>
      </c>
      <c r="I9" s="383" t="str">
        <f t="shared" ref="I9:I16" si="0">D9</f>
        <v>SHM/NO.01565</v>
      </c>
      <c r="J9" s="467"/>
      <c r="K9" s="263"/>
    </row>
    <row r="10" spans="1:14" ht="15.6" customHeight="1" x14ac:dyDescent="0.25">
      <c r="A10" s="264"/>
      <c r="B10" s="13"/>
      <c r="C10" s="13"/>
      <c r="D10" s="383" t="str">
        <f>'TANAH BANGUNAN'!D16</f>
        <v>SHM/NO.01562</v>
      </c>
      <c r="E10" s="84"/>
      <c r="F10" s="630"/>
      <c r="G10" s="13"/>
      <c r="H10" s="13"/>
      <c r="I10" s="383" t="str">
        <f t="shared" si="0"/>
        <v>SHM/NO.01562</v>
      </c>
      <c r="J10" s="435"/>
      <c r="K10" s="263"/>
    </row>
    <row r="11" spans="1:14" x14ac:dyDescent="0.25">
      <c r="A11" s="264"/>
      <c r="B11" s="13" t="s">
        <v>556</v>
      </c>
      <c r="C11" s="13" t="s">
        <v>63</v>
      </c>
      <c r="D11" s="383"/>
      <c r="E11" s="84"/>
      <c r="F11" s="11"/>
      <c r="G11" s="13" t="s">
        <v>556</v>
      </c>
      <c r="H11" s="13" t="s">
        <v>63</v>
      </c>
      <c r="I11" s="383">
        <f>'TANAH BANGUNAN'!M46+'TANAH BANGUNAN'!D46</f>
        <v>713450000</v>
      </c>
      <c r="J11" s="435"/>
      <c r="K11" s="263"/>
    </row>
    <row r="12" spans="1:14" x14ac:dyDescent="0.25">
      <c r="A12" s="264"/>
      <c r="B12" s="18" t="s">
        <v>200</v>
      </c>
      <c r="C12" s="13" t="s">
        <v>63</v>
      </c>
      <c r="D12" s="85">
        <f>'TANAH BANGUNAN'!Q46+'TANAH BANGUNAN'!H46</f>
        <v>2883600000</v>
      </c>
      <c r="E12" s="86"/>
      <c r="F12" s="11"/>
      <c r="G12" s="18" t="s">
        <v>200</v>
      </c>
      <c r="H12" s="13" t="s">
        <v>63</v>
      </c>
      <c r="I12" s="85">
        <f t="shared" si="0"/>
        <v>2883600000</v>
      </c>
      <c r="J12" s="467"/>
      <c r="K12" s="263"/>
    </row>
    <row r="13" spans="1:14" ht="15.6" customHeight="1" x14ac:dyDescent="0.25">
      <c r="A13" s="264"/>
      <c r="B13" s="18" t="s">
        <v>51</v>
      </c>
      <c r="C13" s="13" t="s">
        <v>63</v>
      </c>
      <c r="D13" s="85">
        <f>'TANAH BANGUNAN'!Q47+'TANAH BANGUNAN'!H47</f>
        <v>2018519999.9999998</v>
      </c>
      <c r="E13" s="86"/>
      <c r="F13" s="11"/>
      <c r="G13" s="18" t="s">
        <v>51</v>
      </c>
      <c r="H13" s="13" t="s">
        <v>63</v>
      </c>
      <c r="I13" s="85">
        <f t="shared" si="0"/>
        <v>2018519999.9999998</v>
      </c>
      <c r="J13" s="467"/>
      <c r="K13" s="263"/>
    </row>
    <row r="14" spans="1:14" x14ac:dyDescent="0.25">
      <c r="A14" s="264"/>
      <c r="B14" s="18" t="s">
        <v>211</v>
      </c>
      <c r="C14" s="13" t="s">
        <v>63</v>
      </c>
      <c r="D14" s="85">
        <f>'DATA AWAL NASABAH'!B31</f>
        <v>10</v>
      </c>
      <c r="E14" s="88"/>
      <c r="F14" s="630"/>
      <c r="G14" s="18" t="s">
        <v>211</v>
      </c>
      <c r="H14" s="13" t="s">
        <v>63</v>
      </c>
      <c r="I14" s="85">
        <f t="shared" si="0"/>
        <v>10</v>
      </c>
      <c r="J14" s="467"/>
      <c r="K14" s="263"/>
      <c r="N14" s="732">
        <f>'DATA AWAL NASABAH'!B20</f>
        <v>1.4999999999999999E-2</v>
      </c>
    </row>
    <row r="15" spans="1:14" ht="14.25" thickBot="1" x14ac:dyDescent="0.3">
      <c r="A15" s="264"/>
      <c r="B15" s="13" t="s">
        <v>216</v>
      </c>
      <c r="C15" s="11" t="s">
        <v>63</v>
      </c>
      <c r="D15" s="659" t="str">
        <f>'DATA AWAL NASABAH'!B29</f>
        <v>INVESTASI PEMBELIAN TANAH</v>
      </c>
      <c r="E15" s="731"/>
      <c r="F15" s="630"/>
      <c r="G15" s="13" t="s">
        <v>216</v>
      </c>
      <c r="H15" s="11" t="s">
        <v>63</v>
      </c>
      <c r="I15" s="659" t="str">
        <f t="shared" si="0"/>
        <v>INVESTASI PEMBELIAN TANAH</v>
      </c>
      <c r="J15" s="467"/>
      <c r="K15" s="263"/>
      <c r="N15" s="2" t="s">
        <v>675</v>
      </c>
    </row>
    <row r="16" spans="1:14" ht="14.25" thickBot="1" x14ac:dyDescent="0.3">
      <c r="A16" s="264"/>
      <c r="B16" s="13" t="s">
        <v>176</v>
      </c>
      <c r="C16" s="13" t="s">
        <v>63</v>
      </c>
      <c r="D16" s="73">
        <f>'DATA AWAL NASABAH'!B18</f>
        <v>2000000000</v>
      </c>
      <c r="E16" s="86"/>
      <c r="F16" s="630"/>
      <c r="G16" s="13" t="s">
        <v>176</v>
      </c>
      <c r="H16" s="13" t="s">
        <v>63</v>
      </c>
      <c r="I16" s="73">
        <f t="shared" si="0"/>
        <v>2000000000</v>
      </c>
      <c r="J16" s="447" t="str">
        <f>'DATA AWAL NASABAH'!B30</f>
        <v>ADRIAN WAHYU P</v>
      </c>
      <c r="K16" s="263"/>
    </row>
    <row r="17" spans="1:11" ht="14.25" thickBot="1" x14ac:dyDescent="0.3">
      <c r="A17" s="264"/>
      <c r="B17" s="13" t="s">
        <v>177</v>
      </c>
      <c r="C17" s="13" t="s">
        <v>63</v>
      </c>
      <c r="D17" s="368">
        <v>96</v>
      </c>
      <c r="E17" s="86"/>
      <c r="F17" s="630"/>
      <c r="G17" s="13" t="s">
        <v>177</v>
      </c>
      <c r="H17" s="13" t="s">
        <v>63</v>
      </c>
      <c r="I17" s="368">
        <v>12</v>
      </c>
      <c r="J17" s="447" t="s">
        <v>511</v>
      </c>
      <c r="K17" s="263"/>
    </row>
    <row r="18" spans="1:11" x14ac:dyDescent="0.25">
      <c r="A18" s="264"/>
      <c r="B18" s="13" t="s">
        <v>212</v>
      </c>
      <c r="C18" s="13" t="s">
        <v>63</v>
      </c>
      <c r="D18" s="171" t="s">
        <v>476</v>
      </c>
      <c r="E18" s="89"/>
      <c r="G18" s="13" t="s">
        <v>212</v>
      </c>
      <c r="H18" s="13" t="s">
        <v>63</v>
      </c>
      <c r="I18" s="171" t="s">
        <v>674</v>
      </c>
      <c r="K18" s="263"/>
    </row>
    <row r="19" spans="1:11" x14ac:dyDescent="0.25">
      <c r="A19" s="264"/>
      <c r="B19" s="13" t="s">
        <v>209</v>
      </c>
      <c r="C19" s="13" t="s">
        <v>63</v>
      </c>
      <c r="D19" s="369">
        <v>0.115</v>
      </c>
      <c r="E19" s="86"/>
      <c r="G19" s="13" t="s">
        <v>209</v>
      </c>
      <c r="H19" s="13" t="s">
        <v>63</v>
      </c>
      <c r="I19" s="369" t="s">
        <v>676</v>
      </c>
      <c r="K19" s="263"/>
    </row>
    <row r="20" spans="1:11" x14ac:dyDescent="0.25">
      <c r="A20" s="264"/>
      <c r="B20" s="91" t="s">
        <v>204</v>
      </c>
      <c r="C20" s="12" t="s">
        <v>63</v>
      </c>
      <c r="D20" s="370">
        <f>-PMT(D$19/12,$D$17,D16)</f>
        <v>31958747.624265518</v>
      </c>
      <c r="E20" s="86"/>
      <c r="G20" s="91" t="s">
        <v>204</v>
      </c>
      <c r="H20" s="12" t="s">
        <v>63</v>
      </c>
      <c r="I20" s="370">
        <f>I16*N14</f>
        <v>30000000</v>
      </c>
      <c r="K20" s="263"/>
    </row>
    <row r="21" spans="1:11" ht="18" customHeight="1" x14ac:dyDescent="0.25">
      <c r="A21" s="264"/>
      <c r="B21" s="11"/>
      <c r="C21" s="11"/>
      <c r="D21" s="11"/>
      <c r="E21" s="11"/>
      <c r="F21" s="429"/>
      <c r="G21" s="11"/>
      <c r="H21" s="11"/>
      <c r="I21" s="11"/>
      <c r="J21" s="11"/>
      <c r="K21" s="263"/>
    </row>
    <row r="22" spans="1:11" ht="15" customHeight="1" thickBot="1" x14ac:dyDescent="0.3">
      <c r="A22" s="264"/>
      <c r="B22" s="17" t="s">
        <v>523</v>
      </c>
      <c r="C22" s="11"/>
      <c r="D22" s="11"/>
      <c r="E22" s="11"/>
      <c r="F22" s="429"/>
      <c r="G22" s="11"/>
      <c r="H22" s="11"/>
      <c r="I22" s="11"/>
      <c r="J22" s="11"/>
      <c r="K22" s="263"/>
    </row>
    <row r="23" spans="1:11" ht="15" customHeight="1" thickBot="1" x14ac:dyDescent="0.3">
      <c r="A23" s="264"/>
      <c r="B23" s="354"/>
      <c r="C23" s="291"/>
      <c r="D23" s="291"/>
      <c r="E23" s="291"/>
      <c r="F23" s="292"/>
      <c r="G23" s="291"/>
      <c r="H23" s="291"/>
      <c r="I23" s="291"/>
      <c r="J23" s="451" t="s">
        <v>3</v>
      </c>
      <c r="K23" s="263"/>
    </row>
    <row r="24" spans="1:11" ht="15" customHeight="1" x14ac:dyDescent="0.25">
      <c r="A24" s="264"/>
      <c r="B24" s="264"/>
      <c r="C24" s="11"/>
      <c r="D24" s="11"/>
      <c r="E24" s="11"/>
      <c r="F24" s="429"/>
      <c r="G24" s="11"/>
      <c r="H24" s="11"/>
      <c r="I24" s="11"/>
      <c r="J24" s="435"/>
      <c r="K24" s="263"/>
    </row>
    <row r="25" spans="1:11" ht="15" customHeight="1" x14ac:dyDescent="0.25">
      <c r="A25" s="264"/>
      <c r="B25" s="264"/>
      <c r="C25" s="11"/>
      <c r="D25" s="11"/>
      <c r="E25" s="11"/>
      <c r="F25" s="429"/>
      <c r="G25" s="11"/>
      <c r="H25" s="11"/>
      <c r="I25" s="11"/>
      <c r="J25" s="435"/>
      <c r="K25" s="263"/>
    </row>
    <row r="26" spans="1:11" ht="15" customHeight="1" x14ac:dyDescent="0.25">
      <c r="A26" s="264"/>
      <c r="B26" s="264"/>
      <c r="C26" s="11"/>
      <c r="D26" s="11"/>
      <c r="E26" s="11"/>
      <c r="F26" s="429"/>
      <c r="G26" s="11"/>
      <c r="H26" s="11"/>
      <c r="I26" s="11"/>
      <c r="J26" s="435"/>
      <c r="K26" s="263"/>
    </row>
    <row r="27" spans="1:11" ht="15" customHeight="1" thickBot="1" x14ac:dyDescent="0.3">
      <c r="A27" s="264"/>
      <c r="B27" s="264"/>
      <c r="C27" s="11"/>
      <c r="D27" s="11"/>
      <c r="E27" s="11"/>
      <c r="F27" s="429"/>
      <c r="G27" s="11"/>
      <c r="H27" s="11"/>
      <c r="I27" s="11"/>
      <c r="J27" s="435"/>
      <c r="K27" s="263"/>
    </row>
    <row r="28" spans="1:11" ht="15" customHeight="1" thickBot="1" x14ac:dyDescent="0.3">
      <c r="A28" s="264"/>
      <c r="B28" s="264"/>
      <c r="C28" s="11"/>
      <c r="D28" s="11"/>
      <c r="E28" s="11"/>
      <c r="F28" s="429"/>
      <c r="G28" s="11"/>
      <c r="H28" s="11"/>
      <c r="I28" s="11"/>
      <c r="J28" s="451" t="s">
        <v>561</v>
      </c>
      <c r="K28" s="263"/>
    </row>
    <row r="29" spans="1:11" ht="15" customHeight="1" thickBot="1" x14ac:dyDescent="0.3">
      <c r="A29" s="264"/>
      <c r="B29" s="301"/>
      <c r="C29" s="267"/>
      <c r="D29" s="267"/>
      <c r="E29" s="267"/>
      <c r="F29" s="268"/>
      <c r="G29" s="267"/>
      <c r="H29" s="267"/>
      <c r="I29" s="267"/>
      <c r="J29" s="450" t="s">
        <v>512</v>
      </c>
      <c r="K29" s="263"/>
    </row>
    <row r="30" spans="1:11" x14ac:dyDescent="0.25">
      <c r="A30" s="264"/>
      <c r="B30" s="11"/>
      <c r="C30" s="11"/>
      <c r="D30" s="11"/>
      <c r="E30" s="11"/>
      <c r="F30" s="429"/>
      <c r="G30" s="11"/>
      <c r="H30" s="11"/>
      <c r="I30" s="11"/>
      <c r="J30" s="11"/>
      <c r="K30" s="263"/>
    </row>
    <row r="31" spans="1:11" s="582" customFormat="1" ht="21.95" customHeight="1" x14ac:dyDescent="0.4">
      <c r="A31" s="393"/>
      <c r="B31" s="12" t="s">
        <v>158</v>
      </c>
      <c r="C31" s="12" t="s">
        <v>63</v>
      </c>
      <c r="D31" s="720" t="s">
        <v>217</v>
      </c>
      <c r="E31" s="17" t="s">
        <v>449</v>
      </c>
      <c r="F31" s="837" t="s">
        <v>167</v>
      </c>
      <c r="G31" s="837"/>
      <c r="H31" s="17" t="s">
        <v>449</v>
      </c>
      <c r="I31" s="837" t="s">
        <v>524</v>
      </c>
      <c r="J31" s="837"/>
      <c r="K31" s="394"/>
    </row>
    <row r="32" spans="1:11" s="582" customFormat="1" ht="21.95" customHeight="1" x14ac:dyDescent="0.4">
      <c r="A32" s="576"/>
      <c r="B32" s="13" t="s">
        <v>138</v>
      </c>
      <c r="C32" s="13" t="s">
        <v>63</v>
      </c>
      <c r="D32" s="577"/>
      <c r="E32" s="577"/>
      <c r="F32" s="578"/>
      <c r="G32" s="579"/>
      <c r="H32" s="579"/>
      <c r="I32" s="580"/>
      <c r="J32" s="580"/>
      <c r="K32" s="581"/>
    </row>
    <row r="33" spans="1:11" s="582" customFormat="1" ht="21.95" customHeight="1" x14ac:dyDescent="0.4">
      <c r="A33" s="576"/>
      <c r="B33" s="13" t="s">
        <v>210</v>
      </c>
      <c r="C33" s="13" t="s">
        <v>63</v>
      </c>
      <c r="D33" s="583"/>
      <c r="E33" s="584"/>
      <c r="F33" s="578"/>
      <c r="G33" s="580"/>
      <c r="H33" s="580"/>
      <c r="I33" s="580"/>
      <c r="J33" s="580"/>
      <c r="K33" s="581"/>
    </row>
    <row r="34" spans="1:11" s="582" customFormat="1" ht="21.95" customHeight="1" x14ac:dyDescent="0.4">
      <c r="A34" s="576"/>
      <c r="B34" s="13" t="s">
        <v>556</v>
      </c>
      <c r="C34" s="13" t="s">
        <v>63</v>
      </c>
      <c r="D34" s="583"/>
      <c r="E34" s="584"/>
      <c r="F34" s="578"/>
      <c r="G34" s="580"/>
      <c r="H34" s="580"/>
      <c r="I34" s="580"/>
      <c r="J34" s="580"/>
      <c r="K34" s="581"/>
    </row>
    <row r="35" spans="1:11" s="582" customFormat="1" ht="21.95" customHeight="1" x14ac:dyDescent="0.4">
      <c r="A35" s="576"/>
      <c r="B35" s="18" t="s">
        <v>200</v>
      </c>
      <c r="C35" s="13" t="s">
        <v>63</v>
      </c>
      <c r="D35" s="585"/>
      <c r="E35" s="586"/>
      <c r="F35" s="578"/>
      <c r="G35" s="580"/>
      <c r="H35" s="580"/>
      <c r="I35" s="580"/>
      <c r="J35" s="580"/>
      <c r="K35" s="581"/>
    </row>
    <row r="36" spans="1:11" s="582" customFormat="1" ht="21.95" customHeight="1" x14ac:dyDescent="0.4">
      <c r="A36" s="576"/>
      <c r="B36" s="18" t="str">
        <f>B13</f>
        <v>Nilai Taksasi</v>
      </c>
      <c r="C36" s="13" t="s">
        <v>63</v>
      </c>
      <c r="D36" s="585"/>
      <c r="E36" s="586"/>
      <c r="F36" s="578"/>
      <c r="G36" s="580"/>
      <c r="H36" s="580"/>
      <c r="I36" s="580"/>
      <c r="J36" s="580"/>
      <c r="K36" s="581"/>
    </row>
    <row r="37" spans="1:11" s="582" customFormat="1" ht="21.95" customHeight="1" x14ac:dyDescent="0.4">
      <c r="A37" s="576"/>
      <c r="B37" s="18" t="s">
        <v>211</v>
      </c>
      <c r="C37" s="13" t="s">
        <v>63</v>
      </c>
      <c r="D37" s="583"/>
      <c r="E37" s="584"/>
      <c r="F37" s="578"/>
      <c r="G37" s="580"/>
      <c r="H37" s="580"/>
      <c r="I37" s="580"/>
      <c r="J37" s="580"/>
      <c r="K37" s="581"/>
    </row>
    <row r="38" spans="1:11" s="582" customFormat="1" ht="21.95" customHeight="1" x14ac:dyDescent="0.4">
      <c r="A38" s="576"/>
      <c r="B38" s="13" t="s">
        <v>216</v>
      </c>
      <c r="C38" s="11" t="s">
        <v>63</v>
      </c>
      <c r="D38" s="583"/>
      <c r="E38" s="584"/>
      <c r="F38" s="578"/>
      <c r="G38" s="580"/>
      <c r="H38" s="580"/>
      <c r="I38" s="580"/>
      <c r="J38" s="580"/>
      <c r="K38" s="581"/>
    </row>
    <row r="39" spans="1:11" s="582" customFormat="1" ht="21.95" customHeight="1" x14ac:dyDescent="0.4">
      <c r="A39" s="576"/>
      <c r="B39" s="13" t="s">
        <v>176</v>
      </c>
      <c r="C39" s="13" t="s">
        <v>63</v>
      </c>
      <c r="D39" s="583"/>
      <c r="E39" s="584"/>
      <c r="F39" s="578"/>
      <c r="G39" s="580"/>
      <c r="H39" s="580"/>
      <c r="I39" s="580"/>
      <c r="J39" s="580"/>
      <c r="K39" s="581"/>
    </row>
    <row r="40" spans="1:11" s="582" customFormat="1" ht="21.95" customHeight="1" x14ac:dyDescent="0.4">
      <c r="A40" s="576"/>
      <c r="B40" s="13" t="s">
        <v>177</v>
      </c>
      <c r="C40" s="13" t="s">
        <v>63</v>
      </c>
      <c r="D40" s="583"/>
      <c r="E40" s="584"/>
      <c r="F40" s="578"/>
      <c r="G40" s="580"/>
      <c r="H40" s="580"/>
      <c r="I40" s="580"/>
      <c r="J40" s="580"/>
      <c r="K40" s="581"/>
    </row>
    <row r="41" spans="1:11" s="582" customFormat="1" ht="21.95" customHeight="1" x14ac:dyDescent="0.4">
      <c r="A41" s="576"/>
      <c r="B41" s="13" t="s">
        <v>212</v>
      </c>
      <c r="C41" s="13" t="s">
        <v>63</v>
      </c>
      <c r="D41" s="583"/>
      <c r="E41" s="588"/>
      <c r="F41" s="578"/>
      <c r="G41" s="580"/>
      <c r="H41" s="580"/>
      <c r="I41" s="580"/>
      <c r="J41" s="580"/>
      <c r="K41" s="581"/>
    </row>
    <row r="42" spans="1:11" s="582" customFormat="1" ht="21.95" customHeight="1" x14ac:dyDescent="0.4">
      <c r="A42" s="576"/>
      <c r="B42" s="13" t="s">
        <v>209</v>
      </c>
      <c r="C42" s="13" t="s">
        <v>63</v>
      </c>
      <c r="D42" s="583"/>
      <c r="E42" s="587"/>
      <c r="F42" s="578"/>
      <c r="G42" s="580"/>
      <c r="H42" s="580"/>
      <c r="I42" s="580"/>
      <c r="J42" s="580"/>
      <c r="K42" s="581"/>
    </row>
    <row r="43" spans="1:11" s="582" customFormat="1" ht="21.95" customHeight="1" x14ac:dyDescent="0.4">
      <c r="A43" s="576"/>
      <c r="B43" s="91" t="s">
        <v>204</v>
      </c>
      <c r="C43" s="12" t="s">
        <v>63</v>
      </c>
      <c r="D43" s="589"/>
      <c r="E43" s="584"/>
      <c r="F43" s="578"/>
      <c r="G43" s="580"/>
      <c r="H43" s="580"/>
      <c r="I43" s="580"/>
      <c r="J43" s="580"/>
      <c r="K43" s="581"/>
    </row>
    <row r="44" spans="1:11" ht="21.95" customHeight="1" x14ac:dyDescent="0.4">
      <c r="A44" s="576"/>
      <c r="B44" s="577"/>
      <c r="C44" s="577"/>
      <c r="D44" s="577"/>
      <c r="E44" s="577"/>
      <c r="F44" s="590"/>
      <c r="G44" s="577"/>
      <c r="H44" s="577"/>
      <c r="I44" s="577"/>
      <c r="J44" s="591"/>
      <c r="K44" s="581"/>
    </row>
    <row r="45" spans="1:11" ht="15" customHeight="1" thickBot="1" x14ac:dyDescent="0.45">
      <c r="A45" s="576"/>
      <c r="B45" s="452" t="s">
        <v>169</v>
      </c>
      <c r="C45" s="726"/>
      <c r="D45" s="726"/>
      <c r="E45" s="726"/>
      <c r="F45" s="839"/>
      <c r="G45" s="839"/>
      <c r="H45" s="726"/>
      <c r="I45" s="725"/>
      <c r="J45" s="726"/>
      <c r="K45" s="581"/>
    </row>
    <row r="46" spans="1:11" ht="15" customHeight="1" thickBot="1" x14ac:dyDescent="0.45">
      <c r="A46" s="576"/>
      <c r="B46" s="453"/>
      <c r="C46" s="727"/>
      <c r="D46" s="727"/>
      <c r="E46" s="727"/>
      <c r="F46" s="840"/>
      <c r="G46" s="840"/>
      <c r="H46" s="727"/>
      <c r="I46" s="455"/>
      <c r="J46" s="461" t="s">
        <v>4</v>
      </c>
      <c r="K46" s="581"/>
    </row>
    <row r="47" spans="1:11" ht="15" customHeight="1" x14ac:dyDescent="0.4">
      <c r="A47" s="576"/>
      <c r="B47" s="456"/>
      <c r="C47" s="726"/>
      <c r="D47" s="726"/>
      <c r="E47" s="726"/>
      <c r="F47" s="839"/>
      <c r="G47" s="839"/>
      <c r="H47" s="726"/>
      <c r="I47" s="725"/>
      <c r="J47" s="459"/>
      <c r="K47" s="581"/>
    </row>
    <row r="48" spans="1:11" ht="15" customHeight="1" x14ac:dyDescent="0.4">
      <c r="A48" s="576"/>
      <c r="B48" s="456"/>
      <c r="C48" s="726"/>
      <c r="D48" s="726"/>
      <c r="E48" s="726"/>
      <c r="F48" s="726"/>
      <c r="G48" s="726"/>
      <c r="H48" s="726"/>
      <c r="I48" s="725"/>
      <c r="J48" s="459"/>
      <c r="K48" s="581"/>
    </row>
    <row r="49" spans="1:11" ht="15" customHeight="1" x14ac:dyDescent="0.4">
      <c r="A49" s="576"/>
      <c r="B49" s="457"/>
      <c r="C49" s="726"/>
      <c r="D49" s="728"/>
      <c r="E49" s="726"/>
      <c r="F49" s="838"/>
      <c r="G49" s="839"/>
      <c r="H49" s="726"/>
      <c r="I49" s="725"/>
      <c r="J49" s="449"/>
      <c r="K49" s="581"/>
    </row>
    <row r="50" spans="1:11" ht="15" customHeight="1" thickBot="1" x14ac:dyDescent="0.45">
      <c r="A50" s="576"/>
      <c r="B50" s="457"/>
      <c r="C50" s="726"/>
      <c r="D50" s="728"/>
      <c r="E50" s="726"/>
      <c r="F50" s="728"/>
      <c r="G50" s="726"/>
      <c r="H50" s="726"/>
      <c r="I50" s="725"/>
      <c r="J50" s="449"/>
      <c r="K50" s="581"/>
    </row>
    <row r="51" spans="1:11" ht="15" customHeight="1" thickBot="1" x14ac:dyDescent="0.45">
      <c r="A51" s="576"/>
      <c r="B51" s="457"/>
      <c r="C51" s="726"/>
      <c r="D51" s="728"/>
      <c r="E51" s="726"/>
      <c r="F51" s="728"/>
      <c r="G51" s="726"/>
      <c r="H51" s="726"/>
      <c r="I51" s="725"/>
      <c r="J51" s="477" t="s">
        <v>570</v>
      </c>
      <c r="K51" s="581"/>
    </row>
    <row r="52" spans="1:11" ht="15" customHeight="1" thickBot="1" x14ac:dyDescent="0.45">
      <c r="A52" s="576"/>
      <c r="B52" s="458"/>
      <c r="C52" s="399"/>
      <c r="D52" s="399"/>
      <c r="E52" s="399"/>
      <c r="F52" s="399"/>
      <c r="G52" s="399"/>
      <c r="H52" s="399"/>
      <c r="I52" s="399"/>
      <c r="J52" s="479" t="s">
        <v>677</v>
      </c>
      <c r="K52" s="581"/>
    </row>
    <row r="53" spans="1:11" ht="15" customHeight="1" thickBot="1" x14ac:dyDescent="0.3">
      <c r="A53" s="264"/>
      <c r="B53" s="452" t="s">
        <v>169</v>
      </c>
      <c r="C53" s="722"/>
      <c r="D53" s="722"/>
      <c r="E53" s="722"/>
      <c r="F53" s="839"/>
      <c r="G53" s="839"/>
      <c r="H53" s="722"/>
      <c r="I53" s="720"/>
      <c r="J53" s="722"/>
      <c r="K53" s="263"/>
    </row>
    <row r="54" spans="1:11" ht="15" customHeight="1" thickBot="1" x14ac:dyDescent="0.3">
      <c r="A54" s="264"/>
      <c r="B54" s="453"/>
      <c r="C54" s="723"/>
      <c r="D54" s="723"/>
      <c r="E54" s="723"/>
      <c r="F54" s="840"/>
      <c r="G54" s="840"/>
      <c r="H54" s="723"/>
      <c r="I54" s="455"/>
      <c r="J54" s="461" t="s">
        <v>4</v>
      </c>
      <c r="K54" s="263"/>
    </row>
    <row r="55" spans="1:11" ht="15" customHeight="1" x14ac:dyDescent="0.25">
      <c r="A55" s="264"/>
      <c r="B55" s="456"/>
      <c r="C55" s="722"/>
      <c r="D55" s="722"/>
      <c r="E55" s="722"/>
      <c r="F55" s="839"/>
      <c r="G55" s="839"/>
      <c r="H55" s="722"/>
      <c r="I55" s="720"/>
      <c r="J55" s="459"/>
      <c r="K55" s="263"/>
    </row>
    <row r="56" spans="1:11" ht="15" customHeight="1" x14ac:dyDescent="0.25">
      <c r="A56" s="264"/>
      <c r="B56" s="456"/>
      <c r="C56" s="722"/>
      <c r="D56" s="722"/>
      <c r="E56" s="722"/>
      <c r="F56" s="722"/>
      <c r="G56" s="722"/>
      <c r="H56" s="722"/>
      <c r="I56" s="720"/>
      <c r="J56" s="459"/>
      <c r="K56" s="263"/>
    </row>
    <row r="57" spans="1:11" ht="15" customHeight="1" x14ac:dyDescent="0.25">
      <c r="A57" s="264"/>
      <c r="B57" s="457"/>
      <c r="C57" s="722"/>
      <c r="D57" s="721"/>
      <c r="E57" s="722"/>
      <c r="F57" s="838"/>
      <c r="G57" s="839"/>
      <c r="H57" s="722"/>
      <c r="I57" s="720"/>
      <c r="J57" s="449"/>
      <c r="K57" s="263"/>
    </row>
    <row r="58" spans="1:11" ht="15" customHeight="1" thickBot="1" x14ac:dyDescent="0.3">
      <c r="A58" s="264"/>
      <c r="B58" s="457"/>
      <c r="C58" s="722"/>
      <c r="D58" s="721"/>
      <c r="E58" s="722"/>
      <c r="F58" s="721"/>
      <c r="G58" s="722"/>
      <c r="H58" s="722"/>
      <c r="I58" s="720"/>
      <c r="J58" s="449"/>
      <c r="K58" s="263"/>
    </row>
    <row r="59" spans="1:11" ht="15" customHeight="1" thickBot="1" x14ac:dyDescent="0.3">
      <c r="A59" s="264"/>
      <c r="B59" s="457"/>
      <c r="C59" s="722"/>
      <c r="D59" s="721"/>
      <c r="E59" s="722"/>
      <c r="F59" s="721"/>
      <c r="G59" s="722"/>
      <c r="H59" s="722"/>
      <c r="I59" s="720"/>
      <c r="J59" s="477" t="s">
        <v>678</v>
      </c>
      <c r="K59" s="263"/>
    </row>
    <row r="60" spans="1:11" ht="15" customHeight="1" thickBot="1" x14ac:dyDescent="0.3">
      <c r="A60" s="264"/>
      <c r="B60" s="458"/>
      <c r="C60" s="399"/>
      <c r="D60" s="399"/>
      <c r="E60" s="399"/>
      <c r="F60" s="399"/>
      <c r="G60" s="399"/>
      <c r="H60" s="399"/>
      <c r="I60" s="399"/>
      <c r="J60" s="479" t="s">
        <v>677</v>
      </c>
      <c r="K60" s="263"/>
    </row>
    <row r="61" spans="1:11" ht="15" customHeight="1" x14ac:dyDescent="0.25">
      <c r="A61" s="264"/>
      <c r="B61" s="722"/>
      <c r="C61" s="722"/>
      <c r="D61" s="722"/>
      <c r="E61" s="722"/>
      <c r="F61" s="722"/>
      <c r="G61" s="722"/>
      <c r="H61" s="722"/>
      <c r="I61" s="722"/>
      <c r="J61" s="721"/>
      <c r="K61" s="263"/>
    </row>
    <row r="62" spans="1:11" ht="15" customHeight="1" thickBot="1" x14ac:dyDescent="0.3">
      <c r="A62" s="264"/>
      <c r="B62" s="452" t="s">
        <v>169</v>
      </c>
      <c r="C62" s="722"/>
      <c r="D62" s="722"/>
      <c r="E62" s="722"/>
      <c r="F62" s="839"/>
      <c r="G62" s="839"/>
      <c r="H62" s="722"/>
      <c r="I62" s="720"/>
      <c r="J62" s="722"/>
      <c r="K62" s="263"/>
    </row>
    <row r="63" spans="1:11" ht="15" customHeight="1" thickBot="1" x14ac:dyDescent="0.3">
      <c r="A63" s="264"/>
      <c r="B63" s="453"/>
      <c r="C63" s="723"/>
      <c r="D63" s="723"/>
      <c r="E63" s="723"/>
      <c r="F63" s="840"/>
      <c r="G63" s="840"/>
      <c r="H63" s="723"/>
      <c r="I63" s="455"/>
      <c r="J63" s="461" t="s">
        <v>554</v>
      </c>
      <c r="K63" s="263"/>
    </row>
    <row r="64" spans="1:11" ht="15" customHeight="1" x14ac:dyDescent="0.25">
      <c r="A64" s="264"/>
      <c r="B64" s="456"/>
      <c r="C64" s="722"/>
      <c r="D64" s="722"/>
      <c r="E64" s="722"/>
      <c r="F64" s="839"/>
      <c r="G64" s="839"/>
      <c r="H64" s="722"/>
      <c r="I64" s="720"/>
      <c r="J64" s="459"/>
      <c r="K64" s="263"/>
    </row>
    <row r="65" spans="1:11" ht="15" customHeight="1" x14ac:dyDescent="0.25">
      <c r="A65" s="264"/>
      <c r="B65" s="456"/>
      <c r="C65" s="722"/>
      <c r="D65" s="722"/>
      <c r="E65" s="722"/>
      <c r="F65" s="722"/>
      <c r="G65" s="722"/>
      <c r="H65" s="722"/>
      <c r="I65" s="720"/>
      <c r="J65" s="459"/>
      <c r="K65" s="263"/>
    </row>
    <row r="66" spans="1:11" ht="15" customHeight="1" x14ac:dyDescent="0.25">
      <c r="A66" s="264"/>
      <c r="B66" s="457"/>
      <c r="C66" s="722"/>
      <c r="D66" s="721"/>
      <c r="E66" s="722"/>
      <c r="F66" s="838"/>
      <c r="G66" s="839"/>
      <c r="H66" s="722"/>
      <c r="I66" s="720"/>
      <c r="J66" s="449"/>
      <c r="K66" s="263"/>
    </row>
    <row r="67" spans="1:11" ht="15" customHeight="1" thickBot="1" x14ac:dyDescent="0.3">
      <c r="A67" s="264"/>
      <c r="B67" s="457"/>
      <c r="C67" s="722"/>
      <c r="D67" s="721"/>
      <c r="E67" s="722"/>
      <c r="F67" s="721"/>
      <c r="G67" s="722"/>
      <c r="H67" s="722"/>
      <c r="I67" s="720"/>
      <c r="J67" s="449"/>
      <c r="K67" s="263"/>
    </row>
    <row r="68" spans="1:11" ht="15" customHeight="1" thickBot="1" x14ac:dyDescent="0.3">
      <c r="A68" s="264"/>
      <c r="B68" s="457"/>
      <c r="C68" s="722"/>
      <c r="D68" s="721"/>
      <c r="E68" s="722"/>
      <c r="F68" s="721"/>
      <c r="G68" s="722"/>
      <c r="H68" s="722"/>
      <c r="I68" s="720"/>
      <c r="J68" s="724" t="s">
        <v>671</v>
      </c>
      <c r="K68" s="263"/>
    </row>
    <row r="69" spans="1:11" ht="15" customHeight="1" thickBot="1" x14ac:dyDescent="0.3">
      <c r="A69" s="264"/>
      <c r="B69" s="458"/>
      <c r="C69" s="399"/>
      <c r="D69" s="399"/>
      <c r="E69" s="399"/>
      <c r="F69" s="399"/>
      <c r="G69" s="399"/>
      <c r="H69" s="399"/>
      <c r="I69" s="399"/>
      <c r="J69" s="460" t="s">
        <v>98</v>
      </c>
      <c r="K69" s="263"/>
    </row>
    <row r="70" spans="1:11" ht="15" customHeight="1" thickBot="1" x14ac:dyDescent="0.3">
      <c r="A70" s="301"/>
      <c r="B70" s="267"/>
      <c r="C70" s="267"/>
      <c r="D70" s="267"/>
      <c r="E70" s="267"/>
      <c r="F70" s="268"/>
      <c r="G70" s="267"/>
      <c r="H70" s="267"/>
      <c r="I70" s="267"/>
      <c r="J70" s="267"/>
      <c r="K70" s="265"/>
    </row>
  </sheetData>
  <mergeCells count="17">
    <mergeCell ref="F53:G53"/>
    <mergeCell ref="F45:G45"/>
    <mergeCell ref="F46:G46"/>
    <mergeCell ref="F47:G47"/>
    <mergeCell ref="F49:G49"/>
    <mergeCell ref="D2:F2"/>
    <mergeCell ref="D4:F4"/>
    <mergeCell ref="B5:J5"/>
    <mergeCell ref="F31:G31"/>
    <mergeCell ref="I31:J31"/>
    <mergeCell ref="F66:G66"/>
    <mergeCell ref="F54:G54"/>
    <mergeCell ref="F55:G55"/>
    <mergeCell ref="F57:G57"/>
    <mergeCell ref="F62:G62"/>
    <mergeCell ref="F63:G63"/>
    <mergeCell ref="F64:G64"/>
  </mergeCells>
  <printOptions horizontalCentered="1"/>
  <pageMargins left="0.25" right="0.25" top="0.75" bottom="0.75" header="0.3" footer="0.3"/>
  <pageSetup paperSize="10000" scale="67" orientation="portrait" horizontalDpi="4294967293"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K70"/>
  <sheetViews>
    <sheetView workbookViewId="0">
      <selection activeCell="G20" sqref="G20"/>
    </sheetView>
  </sheetViews>
  <sheetFormatPr defaultColWidth="8.85546875" defaultRowHeight="13.5" x14ac:dyDescent="0.25"/>
  <cols>
    <col min="1" max="1" width="2.140625" style="2" customWidth="1"/>
    <col min="2" max="2" width="21.7109375" style="2" customWidth="1"/>
    <col min="3" max="3" width="2.28515625" style="2" customWidth="1"/>
    <col min="4" max="4" width="28.7109375" style="2" customWidth="1"/>
    <col min="5" max="5" width="1.85546875" style="2" customWidth="1"/>
    <col min="6" max="6" width="3.28515625" style="52" customWidth="1"/>
    <col min="7" max="7" width="21.5703125" style="2" customWidth="1"/>
    <col min="8" max="8" width="4.28515625" style="2" customWidth="1"/>
    <col min="9" max="9" width="13.7109375" style="2" customWidth="1"/>
    <col min="10" max="10" width="33.140625" style="2" customWidth="1"/>
    <col min="11" max="11" width="2.42578125" style="2" customWidth="1"/>
    <col min="12" max="16384" width="8.85546875" style="2"/>
  </cols>
  <sheetData>
    <row r="1" spans="1:11" x14ac:dyDescent="0.25">
      <c r="A1" s="354"/>
      <c r="B1" s="291"/>
      <c r="C1" s="291"/>
      <c r="D1" s="291"/>
      <c r="E1" s="291"/>
      <c r="F1" s="292"/>
      <c r="G1" s="291"/>
      <c r="H1" s="291"/>
      <c r="I1" s="291"/>
      <c r="J1" s="291"/>
      <c r="K1" s="266"/>
    </row>
    <row r="2" spans="1:11" ht="15" x14ac:dyDescent="0.25">
      <c r="A2" s="264"/>
      <c r="B2" s="365" t="s">
        <v>133</v>
      </c>
      <c r="C2" s="366" t="s">
        <v>63</v>
      </c>
      <c r="D2" s="834" t="str">
        <f>'DATA AWAL NASABAH'!B2</f>
        <v>DYAH RETNO SULISTYOWATI</v>
      </c>
      <c r="E2" s="834"/>
      <c r="F2" s="834"/>
      <c r="G2" s="261"/>
      <c r="H2" s="261"/>
      <c r="I2" s="261"/>
      <c r="J2" s="11"/>
      <c r="K2" s="263"/>
    </row>
    <row r="3" spans="1:11" ht="15" x14ac:dyDescent="0.25">
      <c r="A3" s="264"/>
      <c r="B3" s="365" t="s">
        <v>129</v>
      </c>
      <c r="C3" s="366" t="s">
        <v>63</v>
      </c>
      <c r="D3" s="367" t="str">
        <f>'DATA AWAL NASABAH'!B21</f>
        <v>TOSARI REJO 001/006 JARAKSARI WONOSOBO</v>
      </c>
      <c r="E3" s="367"/>
      <c r="F3" s="367"/>
      <c r="G3" s="261"/>
      <c r="H3" s="261"/>
      <c r="I3" s="261"/>
      <c r="J3" s="11"/>
      <c r="K3" s="263"/>
    </row>
    <row r="4" spans="1:11" ht="15" x14ac:dyDescent="0.25">
      <c r="A4" s="264"/>
      <c r="B4" s="365" t="s">
        <v>393</v>
      </c>
      <c r="C4" s="366" t="s">
        <v>63</v>
      </c>
      <c r="D4" s="834" t="str">
        <f>'DATA AWAL NASABAH'!B4</f>
        <v>PNS</v>
      </c>
      <c r="E4" s="834"/>
      <c r="F4" s="834"/>
      <c r="G4" s="261"/>
      <c r="H4" s="261"/>
      <c r="I4" s="261"/>
      <c r="J4" s="11"/>
      <c r="K4" s="263"/>
    </row>
    <row r="5" spans="1:11" ht="18" x14ac:dyDescent="0.25">
      <c r="A5" s="264"/>
      <c r="B5" s="835" t="s">
        <v>207</v>
      </c>
      <c r="C5" s="835"/>
      <c r="D5" s="835"/>
      <c r="E5" s="835"/>
      <c r="F5" s="835"/>
      <c r="G5" s="835"/>
      <c r="H5" s="835"/>
      <c r="I5" s="835"/>
      <c r="J5" s="835"/>
      <c r="K5" s="263"/>
    </row>
    <row r="6" spans="1:11" x14ac:dyDescent="0.25">
      <c r="A6" s="264"/>
      <c r="B6" s="12"/>
      <c r="C6" s="12"/>
      <c r="D6" s="12"/>
      <c r="E6" s="12"/>
      <c r="F6" s="32"/>
      <c r="G6" s="12"/>
      <c r="H6" s="12"/>
      <c r="I6" s="12"/>
      <c r="J6" s="12"/>
      <c r="K6" s="263"/>
    </row>
    <row r="7" spans="1:11" ht="14.25" thickBot="1" x14ac:dyDescent="0.3">
      <c r="A7" s="264"/>
      <c r="B7" s="17" t="s">
        <v>526</v>
      </c>
      <c r="C7" s="11"/>
      <c r="D7" s="13"/>
      <c r="E7" s="13"/>
      <c r="F7" s="91" t="s">
        <v>208</v>
      </c>
      <c r="G7" s="11"/>
      <c r="H7" s="11"/>
      <c r="I7" s="13"/>
      <c r="J7" s="11"/>
      <c r="K7" s="263"/>
    </row>
    <row r="8" spans="1:11" ht="15.6" customHeight="1" thickBot="1" x14ac:dyDescent="0.3">
      <c r="A8" s="264"/>
      <c r="B8" s="13" t="s">
        <v>138</v>
      </c>
      <c r="C8" s="13" t="s">
        <v>63</v>
      </c>
      <c r="D8" s="617">
        <f>'DATA AWAL NASABAH'!B1</f>
        <v>45986</v>
      </c>
      <c r="E8" s="84"/>
      <c r="F8" s="433" t="s">
        <v>218</v>
      </c>
      <c r="G8" s="439" t="s">
        <v>365</v>
      </c>
      <c r="H8" s="430"/>
      <c r="I8" s="440"/>
      <c r="J8" s="446" t="s">
        <v>2</v>
      </c>
      <c r="K8" s="263"/>
    </row>
    <row r="9" spans="1:11" ht="15.6" customHeight="1" x14ac:dyDescent="0.25">
      <c r="A9" s="264"/>
      <c r="B9" s="13" t="s">
        <v>210</v>
      </c>
      <c r="C9" s="13" t="s">
        <v>63</v>
      </c>
      <c r="D9" s="383" t="str">
        <f>'TANAH BANGUNAN'!M16</f>
        <v>SHM/NO.01565</v>
      </c>
      <c r="E9" s="84"/>
      <c r="F9" s="434" t="s">
        <v>366</v>
      </c>
      <c r="G9" s="441" t="s">
        <v>405</v>
      </c>
      <c r="H9" s="87"/>
      <c r="I9" s="437"/>
      <c r="J9" s="437"/>
      <c r="K9" s="263"/>
    </row>
    <row r="10" spans="1:11" ht="15.6" customHeight="1" x14ac:dyDescent="0.25">
      <c r="A10" s="264"/>
      <c r="B10" s="13"/>
      <c r="C10" s="13"/>
      <c r="D10" s="383" t="str">
        <f>'TANAH BANGUNAN'!D16</f>
        <v>SHM/NO.01562</v>
      </c>
      <c r="E10" s="84"/>
      <c r="F10" s="434" t="s">
        <v>367</v>
      </c>
      <c r="G10" s="441" t="s">
        <v>494</v>
      </c>
      <c r="H10" s="212">
        <f>D14</f>
        <v>10</v>
      </c>
      <c r="I10" s="442"/>
      <c r="J10" s="263"/>
      <c r="K10" s="263"/>
    </row>
    <row r="11" spans="1:11" x14ac:dyDescent="0.25">
      <c r="A11" s="264"/>
      <c r="B11" s="13" t="s">
        <v>556</v>
      </c>
      <c r="C11" s="13" t="s">
        <v>63</v>
      </c>
      <c r="D11" s="383">
        <f>'TANAH BANGUNAN'!M46+'TANAH BANGUNAN'!D46</f>
        <v>713450000</v>
      </c>
      <c r="E11" s="84"/>
      <c r="F11" s="435" t="s">
        <v>448</v>
      </c>
      <c r="G11" s="264" t="s">
        <v>406</v>
      </c>
      <c r="H11" s="11"/>
      <c r="I11" s="443"/>
      <c r="J11" s="263"/>
      <c r="K11" s="263"/>
    </row>
    <row r="12" spans="1:11" x14ac:dyDescent="0.25">
      <c r="A12" s="264"/>
      <c r="B12" s="18" t="s">
        <v>200</v>
      </c>
      <c r="C12" s="13" t="s">
        <v>63</v>
      </c>
      <c r="D12" s="85">
        <f>'TANAH BANGUNAN'!Q46+'TANAH BANGUNAN'!H46</f>
        <v>2883600000</v>
      </c>
      <c r="E12" s="86"/>
      <c r="F12" s="435"/>
      <c r="G12" s="264"/>
      <c r="H12" s="11"/>
      <c r="I12" s="437"/>
      <c r="J12" s="437"/>
      <c r="K12" s="263"/>
    </row>
    <row r="13" spans="1:11" ht="15.6" customHeight="1" x14ac:dyDescent="0.25">
      <c r="A13" s="264"/>
      <c r="B13" s="18" t="s">
        <v>51</v>
      </c>
      <c r="C13" s="13" t="s">
        <v>63</v>
      </c>
      <c r="D13" s="85">
        <f>'TANAH BANGUNAN'!Q47+'TANAH BANGUNAN'!H47</f>
        <v>2018519999.9999998</v>
      </c>
      <c r="E13" s="86"/>
      <c r="F13" s="435"/>
      <c r="G13" s="264"/>
      <c r="H13" s="11"/>
      <c r="I13" s="437"/>
      <c r="J13" s="437"/>
      <c r="K13" s="263"/>
    </row>
    <row r="14" spans="1:11" x14ac:dyDescent="0.25">
      <c r="A14" s="264"/>
      <c r="B14" s="18" t="s">
        <v>211</v>
      </c>
      <c r="C14" s="13" t="s">
        <v>63</v>
      </c>
      <c r="D14" s="85">
        <f>'DATA AWAL NASABAH'!B31</f>
        <v>10</v>
      </c>
      <c r="E14" s="88"/>
      <c r="F14" s="434"/>
      <c r="G14" s="441"/>
      <c r="H14" s="87"/>
      <c r="I14" s="437"/>
      <c r="J14" s="437"/>
      <c r="K14" s="263"/>
    </row>
    <row r="15" spans="1:11" ht="14.25" thickBot="1" x14ac:dyDescent="0.3">
      <c r="A15" s="264"/>
      <c r="B15" s="13" t="s">
        <v>216</v>
      </c>
      <c r="C15" s="11" t="s">
        <v>63</v>
      </c>
      <c r="D15" s="659" t="str">
        <f>'DATA AWAL NASABAH'!B29</f>
        <v>INVESTASI PEMBELIAN TANAH</v>
      </c>
      <c r="E15" s="612"/>
      <c r="F15" s="434"/>
      <c r="G15" s="441"/>
      <c r="H15" s="87"/>
      <c r="I15" s="437"/>
      <c r="J15" s="437"/>
      <c r="K15" s="263"/>
    </row>
    <row r="16" spans="1:11" ht="14.25" thickBot="1" x14ac:dyDescent="0.3">
      <c r="A16" s="264"/>
      <c r="B16" s="13" t="s">
        <v>176</v>
      </c>
      <c r="C16" s="13" t="s">
        <v>63</v>
      </c>
      <c r="D16" s="73">
        <f>'DATA AWAL NASABAH'!B18</f>
        <v>2000000000</v>
      </c>
      <c r="E16" s="86"/>
      <c r="F16" s="434"/>
      <c r="G16" s="441"/>
      <c r="H16" s="87"/>
      <c r="I16" s="437"/>
      <c r="J16" s="447" t="str">
        <f>'DATA AWAL NASABAH'!B30</f>
        <v>ADRIAN WAHYU P</v>
      </c>
      <c r="K16" s="263"/>
    </row>
    <row r="17" spans="1:11" ht="14.25" thickBot="1" x14ac:dyDescent="0.3">
      <c r="A17" s="264"/>
      <c r="B17" s="13" t="s">
        <v>177</v>
      </c>
      <c r="C17" s="13" t="s">
        <v>63</v>
      </c>
      <c r="D17" s="368">
        <f>'DATA AWAL NASABAH'!B19</f>
        <v>12</v>
      </c>
      <c r="E17" s="86"/>
      <c r="F17" s="436"/>
      <c r="G17" s="444"/>
      <c r="H17" s="432"/>
      <c r="I17" s="445"/>
      <c r="J17" s="438" t="s">
        <v>511</v>
      </c>
      <c r="K17" s="263"/>
    </row>
    <row r="18" spans="1:11" x14ac:dyDescent="0.25">
      <c r="A18" s="264"/>
      <c r="B18" s="13" t="s">
        <v>212</v>
      </c>
      <c r="C18" s="13" t="s">
        <v>63</v>
      </c>
      <c r="D18" s="171" t="s">
        <v>476</v>
      </c>
      <c r="E18" s="89"/>
      <c r="K18" s="263"/>
    </row>
    <row r="19" spans="1:11" x14ac:dyDescent="0.25">
      <c r="A19" s="264"/>
      <c r="B19" s="13" t="s">
        <v>209</v>
      </c>
      <c r="C19" s="13" t="s">
        <v>63</v>
      </c>
      <c r="D19" s="369">
        <f>'DATA AWAL NASABAH'!B20</f>
        <v>1.4999999999999999E-2</v>
      </c>
      <c r="E19" s="86"/>
      <c r="K19" s="263"/>
    </row>
    <row r="20" spans="1:11" x14ac:dyDescent="0.25">
      <c r="A20" s="264"/>
      <c r="B20" s="91" t="s">
        <v>204</v>
      </c>
      <c r="C20" s="12" t="s">
        <v>63</v>
      </c>
      <c r="D20" s="370">
        <f>-PMT(D$19/12,$D$17,D16)</f>
        <v>168023934.68230143</v>
      </c>
      <c r="E20" s="86"/>
      <c r="K20" s="263"/>
    </row>
    <row r="21" spans="1:11" ht="18" customHeight="1" x14ac:dyDescent="0.25">
      <c r="A21" s="264"/>
      <c r="B21" s="11"/>
      <c r="C21" s="11"/>
      <c r="D21" s="11"/>
      <c r="E21" s="11"/>
      <c r="F21" s="429"/>
      <c r="G21" s="11"/>
      <c r="H21" s="11"/>
      <c r="I21" s="11"/>
      <c r="J21" s="11"/>
      <c r="K21" s="263"/>
    </row>
    <row r="22" spans="1:11" ht="15" customHeight="1" thickBot="1" x14ac:dyDescent="0.3">
      <c r="A22" s="264"/>
      <c r="B22" s="17" t="s">
        <v>523</v>
      </c>
      <c r="C22" s="11"/>
      <c r="D22" s="11"/>
      <c r="E22" s="11"/>
      <c r="F22" s="429"/>
      <c r="G22" s="11"/>
      <c r="H22" s="11"/>
      <c r="I22" s="11"/>
      <c r="J22" s="11"/>
      <c r="K22" s="263"/>
    </row>
    <row r="23" spans="1:11" ht="15" customHeight="1" thickBot="1" x14ac:dyDescent="0.3">
      <c r="A23" s="264"/>
      <c r="B23" s="354"/>
      <c r="C23" s="291"/>
      <c r="D23" s="291"/>
      <c r="E23" s="291"/>
      <c r="F23" s="292"/>
      <c r="G23" s="291"/>
      <c r="H23" s="291"/>
      <c r="I23" s="291"/>
      <c r="J23" s="451" t="s">
        <v>3</v>
      </c>
      <c r="K23" s="263"/>
    </row>
    <row r="24" spans="1:11" ht="15" customHeight="1" x14ac:dyDescent="0.25">
      <c r="A24" s="264"/>
      <c r="B24" s="264"/>
      <c r="C24" s="11"/>
      <c r="D24" s="11"/>
      <c r="E24" s="11"/>
      <c r="F24" s="429"/>
      <c r="G24" s="11"/>
      <c r="H24" s="11"/>
      <c r="I24" s="11"/>
      <c r="J24" s="435"/>
      <c r="K24" s="263"/>
    </row>
    <row r="25" spans="1:11" ht="15" customHeight="1" x14ac:dyDescent="0.25">
      <c r="A25" s="264"/>
      <c r="B25" s="264"/>
      <c r="C25" s="11"/>
      <c r="D25" s="11"/>
      <c r="E25" s="11"/>
      <c r="F25" s="429"/>
      <c r="G25" s="11"/>
      <c r="H25" s="11"/>
      <c r="I25" s="11"/>
      <c r="J25" s="435"/>
      <c r="K25" s="263"/>
    </row>
    <row r="26" spans="1:11" ht="15" customHeight="1" x14ac:dyDescent="0.25">
      <c r="A26" s="264"/>
      <c r="B26" s="264"/>
      <c r="C26" s="11"/>
      <c r="D26" s="11"/>
      <c r="E26" s="11"/>
      <c r="F26" s="429"/>
      <c r="G26" s="11"/>
      <c r="H26" s="11"/>
      <c r="I26" s="11"/>
      <c r="J26" s="435"/>
      <c r="K26" s="263"/>
    </row>
    <row r="27" spans="1:11" ht="15" customHeight="1" thickBot="1" x14ac:dyDescent="0.3">
      <c r="A27" s="264"/>
      <c r="B27" s="264"/>
      <c r="C27" s="11"/>
      <c r="D27" s="11"/>
      <c r="E27" s="11"/>
      <c r="F27" s="429"/>
      <c r="G27" s="11"/>
      <c r="H27" s="11"/>
      <c r="I27" s="11"/>
      <c r="J27" s="435"/>
      <c r="K27" s="263"/>
    </row>
    <row r="28" spans="1:11" ht="15" customHeight="1" thickBot="1" x14ac:dyDescent="0.3">
      <c r="A28" s="264"/>
      <c r="B28" s="264"/>
      <c r="C28" s="11"/>
      <c r="D28" s="11"/>
      <c r="E28" s="11"/>
      <c r="F28" s="429"/>
      <c r="G28" s="11"/>
      <c r="H28" s="11"/>
      <c r="I28" s="11"/>
      <c r="J28" s="451" t="s">
        <v>561</v>
      </c>
      <c r="K28" s="263"/>
    </row>
    <row r="29" spans="1:11" ht="15" customHeight="1" thickBot="1" x14ac:dyDescent="0.3">
      <c r="A29" s="264"/>
      <c r="B29" s="301"/>
      <c r="C29" s="267"/>
      <c r="D29" s="267"/>
      <c r="E29" s="267"/>
      <c r="F29" s="268"/>
      <c r="G29" s="267"/>
      <c r="H29" s="267"/>
      <c r="I29" s="267"/>
      <c r="J29" s="450" t="s">
        <v>512</v>
      </c>
      <c r="K29" s="263"/>
    </row>
    <row r="30" spans="1:11" ht="15" customHeight="1" thickBot="1" x14ac:dyDescent="0.3">
      <c r="A30" s="264"/>
      <c r="B30" s="17" t="s">
        <v>523</v>
      </c>
      <c r="C30" s="11"/>
      <c r="D30" s="11"/>
      <c r="E30" s="11"/>
      <c r="F30" s="429"/>
      <c r="G30" s="11"/>
      <c r="H30" s="11"/>
      <c r="I30" s="11"/>
      <c r="J30" s="11"/>
      <c r="K30" s="263"/>
    </row>
    <row r="31" spans="1:11" ht="15" customHeight="1" thickBot="1" x14ac:dyDescent="0.3">
      <c r="A31" s="264"/>
      <c r="B31" s="354"/>
      <c r="C31" s="291"/>
      <c r="D31" s="291"/>
      <c r="E31" s="291"/>
      <c r="F31" s="292"/>
      <c r="G31" s="291"/>
      <c r="H31" s="291"/>
      <c r="I31" s="291"/>
      <c r="J31" s="451" t="s">
        <v>4</v>
      </c>
      <c r="K31" s="263"/>
    </row>
    <row r="32" spans="1:11" ht="15" customHeight="1" x14ac:dyDescent="0.25">
      <c r="A32" s="264"/>
      <c r="B32" s="264"/>
      <c r="C32" s="11"/>
      <c r="D32" s="11"/>
      <c r="E32" s="11"/>
      <c r="F32" s="429"/>
      <c r="G32" s="11"/>
      <c r="H32" s="11"/>
      <c r="I32" s="11"/>
      <c r="J32" s="435"/>
      <c r="K32" s="263"/>
    </row>
    <row r="33" spans="1:11" ht="15" customHeight="1" x14ac:dyDescent="0.25">
      <c r="A33" s="264"/>
      <c r="B33" s="264"/>
      <c r="C33" s="11"/>
      <c r="D33" s="11"/>
      <c r="E33" s="11"/>
      <c r="F33" s="429"/>
      <c r="G33" s="11"/>
      <c r="H33" s="11"/>
      <c r="I33" s="11"/>
      <c r="J33" s="435"/>
      <c r="K33" s="263"/>
    </row>
    <row r="34" spans="1:11" ht="15" customHeight="1" x14ac:dyDescent="0.25">
      <c r="A34" s="264"/>
      <c r="B34" s="264"/>
      <c r="C34" s="11"/>
      <c r="D34" s="11"/>
      <c r="E34" s="11"/>
      <c r="F34" s="429"/>
      <c r="G34" s="11"/>
      <c r="H34" s="11"/>
      <c r="I34" s="11"/>
      <c r="J34" s="435"/>
      <c r="K34" s="263"/>
    </row>
    <row r="35" spans="1:11" ht="15" customHeight="1" thickBot="1" x14ac:dyDescent="0.3">
      <c r="A35" s="264"/>
      <c r="B35" s="264"/>
      <c r="C35" s="11"/>
      <c r="D35" s="11"/>
      <c r="E35" s="11"/>
      <c r="F35" s="429"/>
      <c r="G35" s="11"/>
      <c r="H35" s="11"/>
      <c r="I35" s="11"/>
      <c r="J35" s="435"/>
      <c r="K35" s="263"/>
    </row>
    <row r="36" spans="1:11" ht="15" customHeight="1" thickBot="1" x14ac:dyDescent="0.3">
      <c r="A36" s="264"/>
      <c r="B36" s="264"/>
      <c r="C36" s="11"/>
      <c r="D36" s="11"/>
      <c r="E36" s="11"/>
      <c r="F36" s="429"/>
      <c r="G36" s="11"/>
      <c r="H36" s="11"/>
      <c r="I36" s="11"/>
      <c r="J36" s="451" t="s">
        <v>570</v>
      </c>
      <c r="K36" s="263"/>
    </row>
    <row r="37" spans="1:11" ht="15" customHeight="1" thickBot="1" x14ac:dyDescent="0.3">
      <c r="A37" s="264"/>
      <c r="B37" s="301"/>
      <c r="C37" s="267"/>
      <c r="D37" s="267"/>
      <c r="E37" s="267"/>
      <c r="F37" s="268"/>
      <c r="G37" s="267"/>
      <c r="H37" s="267"/>
      <c r="I37" s="267"/>
      <c r="J37" s="450" t="s">
        <v>500</v>
      </c>
      <c r="K37" s="263"/>
    </row>
    <row r="38" spans="1:11" x14ac:dyDescent="0.25">
      <c r="A38" s="264"/>
      <c r="B38" s="11"/>
      <c r="C38" s="11"/>
      <c r="D38" s="11"/>
      <c r="E38" s="11"/>
      <c r="F38" s="429"/>
      <c r="G38" s="11"/>
      <c r="H38" s="11"/>
      <c r="I38" s="11"/>
      <c r="J38" s="11"/>
      <c r="K38" s="263"/>
    </row>
    <row r="39" spans="1:11" s="582" customFormat="1" ht="21.95" customHeight="1" x14ac:dyDescent="0.4">
      <c r="A39" s="393"/>
      <c r="B39" s="12" t="s">
        <v>158</v>
      </c>
      <c r="C39" s="12" t="s">
        <v>63</v>
      </c>
      <c r="D39" s="32" t="s">
        <v>217</v>
      </c>
      <c r="E39" s="17" t="s">
        <v>449</v>
      </c>
      <c r="F39" s="837" t="s">
        <v>167</v>
      </c>
      <c r="G39" s="837"/>
      <c r="H39" s="17" t="s">
        <v>449</v>
      </c>
      <c r="I39" s="837" t="s">
        <v>524</v>
      </c>
      <c r="J39" s="837"/>
      <c r="K39" s="394"/>
    </row>
    <row r="40" spans="1:11" s="582" customFormat="1" ht="21.95" customHeight="1" x14ac:dyDescent="0.4">
      <c r="A40" s="576"/>
      <c r="B40" s="13" t="s">
        <v>138</v>
      </c>
      <c r="C40" s="13" t="s">
        <v>63</v>
      </c>
      <c r="D40" s="577"/>
      <c r="E40" s="577"/>
      <c r="F40" s="578"/>
      <c r="G40" s="579"/>
      <c r="H40" s="579"/>
      <c r="I40" s="580"/>
      <c r="J40" s="580"/>
      <c r="K40" s="581"/>
    </row>
    <row r="41" spans="1:11" s="582" customFormat="1" ht="21.95" customHeight="1" x14ac:dyDescent="0.4">
      <c r="A41" s="576"/>
      <c r="B41" s="13" t="s">
        <v>210</v>
      </c>
      <c r="C41" s="13" t="s">
        <v>63</v>
      </c>
      <c r="D41" s="583"/>
      <c r="E41" s="584"/>
      <c r="F41" s="578"/>
      <c r="G41" s="580"/>
      <c r="H41" s="580"/>
      <c r="I41" s="580"/>
      <c r="J41" s="580"/>
      <c r="K41" s="581"/>
    </row>
    <row r="42" spans="1:11" s="582" customFormat="1" ht="21.95" customHeight="1" x14ac:dyDescent="0.4">
      <c r="A42" s="576"/>
      <c r="B42" s="13" t="s">
        <v>556</v>
      </c>
      <c r="C42" s="13" t="s">
        <v>63</v>
      </c>
      <c r="D42" s="583"/>
      <c r="E42" s="584"/>
      <c r="F42" s="578"/>
      <c r="G42" s="580"/>
      <c r="H42" s="580"/>
      <c r="I42" s="580"/>
      <c r="J42" s="580"/>
      <c r="K42" s="581"/>
    </row>
    <row r="43" spans="1:11" s="582" customFormat="1" ht="21.95" customHeight="1" x14ac:dyDescent="0.4">
      <c r="A43" s="576"/>
      <c r="B43" s="18" t="s">
        <v>200</v>
      </c>
      <c r="C43" s="13" t="s">
        <v>63</v>
      </c>
      <c r="D43" s="585"/>
      <c r="E43" s="586"/>
      <c r="F43" s="578"/>
      <c r="G43" s="580"/>
      <c r="H43" s="580"/>
      <c r="I43" s="580"/>
      <c r="J43" s="580"/>
      <c r="K43" s="581"/>
    </row>
    <row r="44" spans="1:11" s="582" customFormat="1" ht="21.95" customHeight="1" x14ac:dyDescent="0.4">
      <c r="A44" s="576"/>
      <c r="B44" s="18" t="str">
        <f>B13</f>
        <v>Nilai Taksasi</v>
      </c>
      <c r="C44" s="13" t="s">
        <v>63</v>
      </c>
      <c r="D44" s="585"/>
      <c r="E44" s="586"/>
      <c r="F44" s="578"/>
      <c r="G44" s="580"/>
      <c r="H44" s="580"/>
      <c r="I44" s="580"/>
      <c r="J44" s="580"/>
      <c r="K44" s="581"/>
    </row>
    <row r="45" spans="1:11" s="582" customFormat="1" ht="21.95" customHeight="1" x14ac:dyDescent="0.4">
      <c r="A45" s="576"/>
      <c r="B45" s="18" t="s">
        <v>211</v>
      </c>
      <c r="C45" s="13" t="s">
        <v>63</v>
      </c>
      <c r="D45" s="583"/>
      <c r="E45" s="584"/>
      <c r="F45" s="578"/>
      <c r="G45" s="580"/>
      <c r="H45" s="580"/>
      <c r="I45" s="580"/>
      <c r="J45" s="580"/>
      <c r="K45" s="581"/>
    </row>
    <row r="46" spans="1:11" s="582" customFormat="1" ht="21.95" customHeight="1" x14ac:dyDescent="0.4">
      <c r="A46" s="576"/>
      <c r="B46" s="13" t="s">
        <v>216</v>
      </c>
      <c r="C46" s="11" t="s">
        <v>63</v>
      </c>
      <c r="D46" s="583"/>
      <c r="E46" s="584"/>
      <c r="F46" s="578"/>
      <c r="G46" s="580"/>
      <c r="H46" s="580"/>
      <c r="I46" s="580"/>
      <c r="J46" s="580"/>
      <c r="K46" s="581"/>
    </row>
    <row r="47" spans="1:11" s="582" customFormat="1" ht="21.95" customHeight="1" x14ac:dyDescent="0.4">
      <c r="A47" s="576"/>
      <c r="B47" s="13" t="s">
        <v>176</v>
      </c>
      <c r="C47" s="13" t="s">
        <v>63</v>
      </c>
      <c r="D47" s="583"/>
      <c r="E47" s="584"/>
      <c r="F47" s="578"/>
      <c r="G47" s="580"/>
      <c r="H47" s="580"/>
      <c r="I47" s="580"/>
      <c r="J47" s="580"/>
      <c r="K47" s="581"/>
    </row>
    <row r="48" spans="1:11" s="582" customFormat="1" ht="21.95" customHeight="1" x14ac:dyDescent="0.4">
      <c r="A48" s="576"/>
      <c r="B48" s="13" t="s">
        <v>177</v>
      </c>
      <c r="C48" s="13" t="s">
        <v>63</v>
      </c>
      <c r="D48" s="583"/>
      <c r="E48" s="584"/>
      <c r="F48" s="578"/>
      <c r="G48" s="580"/>
      <c r="H48" s="580"/>
      <c r="I48" s="580"/>
      <c r="J48" s="580"/>
      <c r="K48" s="581"/>
    </row>
    <row r="49" spans="1:11" s="582" customFormat="1" ht="21.95" customHeight="1" x14ac:dyDescent="0.4">
      <c r="A49" s="576"/>
      <c r="B49" s="13" t="s">
        <v>212</v>
      </c>
      <c r="C49" s="13" t="s">
        <v>63</v>
      </c>
      <c r="D49" s="583"/>
      <c r="E49" s="588"/>
      <c r="F49" s="578"/>
      <c r="G49" s="580"/>
      <c r="H49" s="580"/>
      <c r="I49" s="580"/>
      <c r="J49" s="580"/>
      <c r="K49" s="581"/>
    </row>
    <row r="50" spans="1:11" s="582" customFormat="1" ht="21.95" customHeight="1" x14ac:dyDescent="0.4">
      <c r="A50" s="576"/>
      <c r="B50" s="13" t="s">
        <v>209</v>
      </c>
      <c r="C50" s="13" t="s">
        <v>63</v>
      </c>
      <c r="D50" s="583"/>
      <c r="E50" s="587"/>
      <c r="F50" s="578"/>
      <c r="G50" s="580"/>
      <c r="H50" s="580"/>
      <c r="I50" s="580"/>
      <c r="J50" s="580"/>
      <c r="K50" s="581"/>
    </row>
    <row r="51" spans="1:11" s="582" customFormat="1" ht="21.95" customHeight="1" x14ac:dyDescent="0.4">
      <c r="A51" s="576"/>
      <c r="B51" s="91" t="s">
        <v>204</v>
      </c>
      <c r="C51" s="12" t="s">
        <v>63</v>
      </c>
      <c r="D51" s="589"/>
      <c r="E51" s="584"/>
      <c r="F51" s="578"/>
      <c r="G51" s="580"/>
      <c r="H51" s="580"/>
      <c r="I51" s="580"/>
      <c r="J51" s="580"/>
      <c r="K51" s="581"/>
    </row>
    <row r="52" spans="1:11" ht="21.95" customHeight="1" x14ac:dyDescent="0.4">
      <c r="A52" s="576"/>
      <c r="B52" s="577"/>
      <c r="C52" s="577"/>
      <c r="D52" s="577"/>
      <c r="E52" s="577"/>
      <c r="F52" s="590"/>
      <c r="G52" s="577"/>
      <c r="H52" s="577"/>
      <c r="I52" s="577"/>
      <c r="J52" s="591"/>
      <c r="K52" s="581"/>
    </row>
    <row r="53" spans="1:11" ht="14.25" thickBot="1" x14ac:dyDescent="0.3">
      <c r="A53" s="264"/>
      <c r="B53" s="452" t="s">
        <v>169</v>
      </c>
      <c r="C53" s="428"/>
      <c r="D53" s="428"/>
      <c r="E53" s="428"/>
      <c r="F53" s="839"/>
      <c r="G53" s="839"/>
      <c r="H53" s="428"/>
      <c r="I53" s="32"/>
      <c r="J53" s="428"/>
      <c r="K53" s="263"/>
    </row>
    <row r="54" spans="1:11" ht="15" customHeight="1" thickBot="1" x14ac:dyDescent="0.3">
      <c r="A54" s="264"/>
      <c r="B54" s="453"/>
      <c r="C54" s="454"/>
      <c r="D54" s="454"/>
      <c r="E54" s="454"/>
      <c r="F54" s="840"/>
      <c r="G54" s="840"/>
      <c r="H54" s="454"/>
      <c r="I54" s="455"/>
      <c r="J54" s="461" t="s">
        <v>4</v>
      </c>
      <c r="K54" s="263"/>
    </row>
    <row r="55" spans="1:11" ht="15" customHeight="1" x14ac:dyDescent="0.25">
      <c r="A55" s="264"/>
      <c r="B55" s="456"/>
      <c r="C55" s="428"/>
      <c r="D55" s="428"/>
      <c r="E55" s="428"/>
      <c r="F55" s="839"/>
      <c r="G55" s="839"/>
      <c r="H55" s="428"/>
      <c r="I55" s="32"/>
      <c r="J55" s="459"/>
      <c r="K55" s="263"/>
    </row>
    <row r="56" spans="1:11" ht="15" customHeight="1" x14ac:dyDescent="0.25">
      <c r="A56" s="264"/>
      <c r="B56" s="456"/>
      <c r="C56" s="428"/>
      <c r="D56" s="428"/>
      <c r="E56" s="428"/>
      <c r="F56" s="428"/>
      <c r="G56" s="428"/>
      <c r="H56" s="428"/>
      <c r="I56" s="32"/>
      <c r="J56" s="459"/>
      <c r="K56" s="263"/>
    </row>
    <row r="57" spans="1:11" ht="15" customHeight="1" x14ac:dyDescent="0.25">
      <c r="A57" s="264"/>
      <c r="B57" s="457"/>
      <c r="C57" s="428"/>
      <c r="D57" s="384"/>
      <c r="E57" s="428"/>
      <c r="F57" s="838"/>
      <c r="G57" s="839"/>
      <c r="H57" s="428"/>
      <c r="I57" s="32"/>
      <c r="J57" s="449"/>
      <c r="K57" s="263"/>
    </row>
    <row r="58" spans="1:11" ht="15" customHeight="1" thickBot="1" x14ac:dyDescent="0.3">
      <c r="A58" s="264"/>
      <c r="B58" s="457"/>
      <c r="C58" s="428"/>
      <c r="D58" s="384"/>
      <c r="E58" s="428"/>
      <c r="F58" s="384"/>
      <c r="G58" s="428"/>
      <c r="H58" s="428"/>
      <c r="I58" s="32"/>
      <c r="J58" s="449"/>
      <c r="K58" s="263"/>
    </row>
    <row r="59" spans="1:11" ht="15" customHeight="1" thickBot="1" x14ac:dyDescent="0.3">
      <c r="A59" s="264"/>
      <c r="B59" s="457"/>
      <c r="C59" s="428"/>
      <c r="D59" s="384"/>
      <c r="E59" s="428"/>
      <c r="F59" s="384"/>
      <c r="G59" s="428"/>
      <c r="H59" s="428"/>
      <c r="I59" s="32"/>
      <c r="J59" s="451" t="s">
        <v>678</v>
      </c>
      <c r="K59" s="263"/>
    </row>
    <row r="60" spans="1:11" ht="15" customHeight="1" thickBot="1" x14ac:dyDescent="0.3">
      <c r="A60" s="264"/>
      <c r="B60" s="458"/>
      <c r="C60" s="399"/>
      <c r="D60" s="399"/>
      <c r="E60" s="399"/>
      <c r="F60" s="399"/>
      <c r="G60" s="399"/>
      <c r="H60" s="399"/>
      <c r="I60" s="399"/>
      <c r="J60" s="460" t="s">
        <v>677</v>
      </c>
      <c r="K60" s="263"/>
    </row>
    <row r="61" spans="1:11" ht="15" customHeight="1" x14ac:dyDescent="0.25">
      <c r="A61" s="264"/>
      <c r="B61" s="699"/>
      <c r="C61" s="699"/>
      <c r="D61" s="699"/>
      <c r="E61" s="699"/>
      <c r="F61" s="699"/>
      <c r="G61" s="699"/>
      <c r="H61" s="699"/>
      <c r="I61" s="699"/>
      <c r="J61" s="698"/>
      <c r="K61" s="263"/>
    </row>
    <row r="62" spans="1:11" ht="15" customHeight="1" thickBot="1" x14ac:dyDescent="0.3">
      <c r="A62" s="264"/>
      <c r="B62" s="452" t="s">
        <v>169</v>
      </c>
      <c r="C62" s="699"/>
      <c r="D62" s="699"/>
      <c r="E62" s="699"/>
      <c r="F62" s="839"/>
      <c r="G62" s="839"/>
      <c r="H62" s="699"/>
      <c r="I62" s="697"/>
      <c r="J62" s="699"/>
      <c r="K62" s="263"/>
    </row>
    <row r="63" spans="1:11" ht="15" customHeight="1" thickBot="1" x14ac:dyDescent="0.3">
      <c r="A63" s="264"/>
      <c r="B63" s="453"/>
      <c r="C63" s="700"/>
      <c r="D63" s="700"/>
      <c r="E63" s="700"/>
      <c r="F63" s="840"/>
      <c r="G63" s="840"/>
      <c r="H63" s="700"/>
      <c r="I63" s="455"/>
      <c r="J63" s="461" t="s">
        <v>554</v>
      </c>
      <c r="K63" s="263"/>
    </row>
    <row r="64" spans="1:11" ht="15" customHeight="1" x14ac:dyDescent="0.25">
      <c r="A64" s="264"/>
      <c r="B64" s="456"/>
      <c r="C64" s="699"/>
      <c r="D64" s="699"/>
      <c r="E64" s="699"/>
      <c r="F64" s="839"/>
      <c r="G64" s="839"/>
      <c r="H64" s="699"/>
      <c r="I64" s="697"/>
      <c r="J64" s="459"/>
      <c r="K64" s="263"/>
    </row>
    <row r="65" spans="1:11" ht="15" customHeight="1" x14ac:dyDescent="0.25">
      <c r="A65" s="264"/>
      <c r="B65" s="456"/>
      <c r="C65" s="699"/>
      <c r="D65" s="699"/>
      <c r="E65" s="699"/>
      <c r="F65" s="699"/>
      <c r="G65" s="699"/>
      <c r="H65" s="699"/>
      <c r="I65" s="697"/>
      <c r="J65" s="459"/>
      <c r="K65" s="263"/>
    </row>
    <row r="66" spans="1:11" ht="15" customHeight="1" x14ac:dyDescent="0.25">
      <c r="A66" s="264"/>
      <c r="B66" s="457"/>
      <c r="C66" s="699"/>
      <c r="D66" s="698"/>
      <c r="E66" s="699"/>
      <c r="F66" s="838"/>
      <c r="G66" s="839"/>
      <c r="H66" s="699"/>
      <c r="I66" s="697"/>
      <c r="J66" s="449"/>
      <c r="K66" s="263"/>
    </row>
    <row r="67" spans="1:11" ht="15" customHeight="1" thickBot="1" x14ac:dyDescent="0.3">
      <c r="A67" s="264"/>
      <c r="B67" s="457"/>
      <c r="C67" s="699"/>
      <c r="D67" s="698"/>
      <c r="E67" s="699"/>
      <c r="F67" s="698"/>
      <c r="G67" s="699"/>
      <c r="H67" s="699"/>
      <c r="I67" s="697"/>
      <c r="J67" s="449"/>
      <c r="K67" s="263"/>
    </row>
    <row r="68" spans="1:11" ht="15" customHeight="1" thickBot="1" x14ac:dyDescent="0.3">
      <c r="A68" s="264"/>
      <c r="B68" s="457"/>
      <c r="C68" s="699"/>
      <c r="D68" s="698"/>
      <c r="E68" s="699"/>
      <c r="F68" s="698"/>
      <c r="G68" s="699"/>
      <c r="H68" s="699"/>
      <c r="I68" s="697"/>
      <c r="J68" s="724" t="s">
        <v>671</v>
      </c>
      <c r="K68" s="263"/>
    </row>
    <row r="69" spans="1:11" ht="15" customHeight="1" thickBot="1" x14ac:dyDescent="0.3">
      <c r="A69" s="264"/>
      <c r="B69" s="458"/>
      <c r="C69" s="399"/>
      <c r="D69" s="399"/>
      <c r="E69" s="399"/>
      <c r="F69" s="399"/>
      <c r="G69" s="399"/>
      <c r="H69" s="399"/>
      <c r="I69" s="399"/>
      <c r="J69" s="460" t="s">
        <v>701</v>
      </c>
      <c r="K69" s="263"/>
    </row>
    <row r="70" spans="1:11" ht="14.25" thickBot="1" x14ac:dyDescent="0.3">
      <c r="A70" s="301"/>
      <c r="B70" s="267"/>
      <c r="C70" s="267"/>
      <c r="D70" s="267"/>
      <c r="E70" s="267"/>
      <c r="F70" s="268"/>
      <c r="G70" s="267"/>
      <c r="H70" s="267"/>
      <c r="I70" s="267"/>
      <c r="J70" s="267"/>
      <c r="K70" s="265"/>
    </row>
  </sheetData>
  <mergeCells count="13">
    <mergeCell ref="F62:G62"/>
    <mergeCell ref="F63:G63"/>
    <mergeCell ref="F64:G64"/>
    <mergeCell ref="F66:G66"/>
    <mergeCell ref="F39:G39"/>
    <mergeCell ref="I39:J39"/>
    <mergeCell ref="D2:F2"/>
    <mergeCell ref="D4:F4"/>
    <mergeCell ref="B5:J5"/>
    <mergeCell ref="F57:G57"/>
    <mergeCell ref="F53:G53"/>
    <mergeCell ref="F54:G54"/>
    <mergeCell ref="F55:G55"/>
  </mergeCells>
  <printOptions horizontalCentered="1"/>
  <pageMargins left="0.25" right="0.25" top="0.75" bottom="0.75" header="0.3" footer="0.3"/>
  <pageSetup paperSize="10000" scale="75" orientation="portrait" horizontalDpi="4294967293"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fitToPage="1"/>
  </sheetPr>
  <dimension ref="A1:AD148"/>
  <sheetViews>
    <sheetView topLeftCell="H99" zoomScale="105" zoomScaleNormal="105" workbookViewId="0">
      <selection activeCell="H116" sqref="H116"/>
    </sheetView>
  </sheetViews>
  <sheetFormatPr defaultColWidth="8.85546875" defaultRowHeight="14.25" x14ac:dyDescent="0.3"/>
  <cols>
    <col min="1" max="1" width="2.7109375" style="81" customWidth="1"/>
    <col min="2" max="2" width="25" style="81" customWidth="1"/>
    <col min="3" max="3" width="1.28515625" style="81" customWidth="1"/>
    <col min="4" max="4" width="33.140625" style="81" customWidth="1"/>
    <col min="5" max="5" width="1.42578125" style="81" customWidth="1"/>
    <col min="6" max="6" width="26.7109375" style="81" customWidth="1"/>
    <col min="7" max="7" width="1.28515625" style="81" customWidth="1"/>
    <col min="8" max="8" width="29.28515625" style="81" bestFit="1" customWidth="1"/>
    <col min="9" max="10" width="2.42578125" style="81" customWidth="1"/>
    <col min="11" max="11" width="27" style="81" customWidth="1"/>
    <col min="12" max="12" width="2.140625" style="81" customWidth="1"/>
    <col min="13" max="13" width="32.140625" style="81" customWidth="1"/>
    <col min="14" max="14" width="2.7109375" style="81" customWidth="1"/>
    <col min="15" max="15" width="26.42578125" style="81" customWidth="1"/>
    <col min="16" max="16" width="1.5703125" style="81" customWidth="1"/>
    <col min="17" max="17" width="29.28515625" style="81" bestFit="1" customWidth="1"/>
    <col min="18" max="18" width="3.140625" style="81" customWidth="1"/>
    <col min="19" max="19" width="8.85546875" style="81"/>
    <col min="20" max="20" width="13.7109375" style="81" bestFit="1" customWidth="1"/>
    <col min="21" max="21" width="8.85546875" style="81"/>
    <col min="22" max="22" width="14.7109375" style="81" bestFit="1" customWidth="1"/>
    <col min="23" max="16384" width="8.85546875" style="81"/>
  </cols>
  <sheetData>
    <row r="1" spans="1:18" ht="18.75" hidden="1" x14ac:dyDescent="0.3">
      <c r="A1" s="320"/>
      <c r="B1" s="842" t="s">
        <v>612</v>
      </c>
      <c r="C1" s="842"/>
      <c r="D1" s="842"/>
      <c r="E1" s="842"/>
      <c r="F1" s="842"/>
      <c r="G1" s="842"/>
      <c r="H1" s="842"/>
      <c r="I1" s="321"/>
      <c r="J1" s="320"/>
      <c r="K1" s="842" t="s">
        <v>612</v>
      </c>
      <c r="L1" s="842"/>
      <c r="M1" s="842"/>
      <c r="N1" s="842"/>
      <c r="O1" s="842"/>
      <c r="P1" s="842"/>
      <c r="Q1" s="842"/>
      <c r="R1" s="321"/>
    </row>
    <row r="2" spans="1:18" ht="18.75" hidden="1" x14ac:dyDescent="0.3">
      <c r="A2" s="322"/>
      <c r="B2" s="831" t="s">
        <v>1</v>
      </c>
      <c r="C2" s="831"/>
      <c r="D2" s="831"/>
      <c r="E2" s="831"/>
      <c r="F2" s="831"/>
      <c r="G2" s="831"/>
      <c r="H2" s="831"/>
      <c r="I2" s="323"/>
      <c r="J2" s="322"/>
      <c r="K2" s="831" t="s">
        <v>1</v>
      </c>
      <c r="L2" s="831"/>
      <c r="M2" s="831"/>
      <c r="N2" s="831"/>
      <c r="O2" s="831"/>
      <c r="P2" s="831"/>
      <c r="Q2" s="831"/>
      <c r="R2" s="323"/>
    </row>
    <row r="3" spans="1:18" hidden="1" x14ac:dyDescent="0.3">
      <c r="A3" s="322"/>
      <c r="B3" s="44"/>
      <c r="C3" s="44"/>
      <c r="D3" s="44"/>
      <c r="E3" s="44"/>
      <c r="F3" s="44"/>
      <c r="G3" s="44"/>
      <c r="H3" s="44"/>
      <c r="I3" s="323"/>
      <c r="J3" s="322"/>
      <c r="K3" s="44"/>
      <c r="L3" s="44"/>
      <c r="M3" s="44"/>
      <c r="N3" s="44"/>
      <c r="O3" s="44"/>
      <c r="P3" s="44"/>
      <c r="Q3" s="44"/>
      <c r="R3" s="323"/>
    </row>
    <row r="4" spans="1:18" hidden="1" x14ac:dyDescent="0.3">
      <c r="A4" s="322"/>
      <c r="B4" s="44" t="s">
        <v>16</v>
      </c>
      <c r="C4" s="44" t="s">
        <v>63</v>
      </c>
      <c r="D4" s="4" t="str">
        <f>M4</f>
        <v>DYAH RETNO SULISTYOWATI</v>
      </c>
      <c r="E4" s="4"/>
      <c r="F4" s="5"/>
      <c r="G4" s="11"/>
      <c r="H4" s="11"/>
      <c r="I4" s="323"/>
      <c r="J4" s="322"/>
      <c r="K4" s="44" t="s">
        <v>16</v>
      </c>
      <c r="L4" s="44" t="s">
        <v>63</v>
      </c>
      <c r="M4" s="4" t="str">
        <f>'DATA AWAL NASABAH'!B2</f>
        <v>DYAH RETNO SULISTYOWATI</v>
      </c>
      <c r="N4" s="4"/>
      <c r="O4" s="5"/>
      <c r="P4" s="11"/>
      <c r="Q4" s="11"/>
      <c r="R4" s="323"/>
    </row>
    <row r="5" spans="1:18" hidden="1" x14ac:dyDescent="0.3">
      <c r="A5" s="322"/>
      <c r="B5" s="44" t="s">
        <v>17</v>
      </c>
      <c r="C5" s="44" t="s">
        <v>63</v>
      </c>
      <c r="D5" s="6" t="str">
        <f>M5</f>
        <v>0811261088</v>
      </c>
      <c r="E5" s="6"/>
      <c r="F5" s="7"/>
      <c r="G5" s="11"/>
      <c r="H5" s="11"/>
      <c r="I5" s="323"/>
      <c r="J5" s="322"/>
      <c r="K5" s="44" t="s">
        <v>17</v>
      </c>
      <c r="L5" s="44" t="s">
        <v>63</v>
      </c>
      <c r="M5" s="6" t="str">
        <f>'DATA AWAL NASABAH'!B15</f>
        <v>0811261088</v>
      </c>
      <c r="N5" s="6"/>
      <c r="O5" s="7"/>
      <c r="P5" s="11"/>
      <c r="Q5" s="11"/>
      <c r="R5" s="323"/>
    </row>
    <row r="6" spans="1:18" hidden="1" x14ac:dyDescent="0.3">
      <c r="A6" s="322"/>
      <c r="B6" s="319" t="s">
        <v>18</v>
      </c>
      <c r="C6" s="44" t="s">
        <v>63</v>
      </c>
      <c r="D6" s="9">
        <f>M6</f>
        <v>45986</v>
      </c>
      <c r="E6" s="10"/>
      <c r="F6" s="7"/>
      <c r="G6" s="11"/>
      <c r="H6" s="44"/>
      <c r="I6" s="323"/>
      <c r="J6" s="322"/>
      <c r="K6" s="318" t="s">
        <v>18</v>
      </c>
      <c r="L6" s="44" t="s">
        <v>63</v>
      </c>
      <c r="M6" s="9">
        <f>'DATA AWAL NASABAH'!B1</f>
        <v>45986</v>
      </c>
      <c r="N6" s="10"/>
      <c r="O6" s="7"/>
      <c r="P6" s="11"/>
      <c r="Q6" s="44"/>
      <c r="R6" s="323"/>
    </row>
    <row r="7" spans="1:18" hidden="1" x14ac:dyDescent="0.3">
      <c r="A7" s="322"/>
      <c r="B7" s="44" t="s">
        <v>19</v>
      </c>
      <c r="C7" s="44" t="s">
        <v>63</v>
      </c>
      <c r="D7" s="161" t="str">
        <f>""&amp;D10&amp;" "&amp;D11</f>
        <v>ROJOIMO WONOSOBO</v>
      </c>
      <c r="E7" s="45"/>
      <c r="F7" s="45"/>
      <c r="G7" s="11"/>
      <c r="H7" s="44"/>
      <c r="I7" s="323"/>
      <c r="J7" s="322"/>
      <c r="K7" s="44" t="s">
        <v>19</v>
      </c>
      <c r="L7" s="44" t="s">
        <v>63</v>
      </c>
      <c r="M7" s="161" t="str">
        <f>""&amp;M10&amp;" "&amp;M11</f>
        <v>ROJOIMO WONOSOBO</v>
      </c>
      <c r="N7" s="45"/>
      <c r="O7" s="45"/>
      <c r="P7" s="11"/>
      <c r="Q7" s="44"/>
      <c r="R7" s="323"/>
    </row>
    <row r="8" spans="1:18" ht="9" hidden="1" customHeight="1" x14ac:dyDescent="0.3">
      <c r="A8" s="322"/>
      <c r="B8" s="44"/>
      <c r="C8" s="44"/>
      <c r="D8" s="44"/>
      <c r="E8" s="44"/>
      <c r="F8" s="44"/>
      <c r="G8" s="11"/>
      <c r="H8" s="44"/>
      <c r="I8" s="323"/>
      <c r="J8" s="322"/>
      <c r="K8" s="44"/>
      <c r="L8" s="44"/>
      <c r="M8" s="44"/>
      <c r="N8" s="44"/>
      <c r="O8" s="44"/>
      <c r="P8" s="11"/>
      <c r="Q8" s="44"/>
      <c r="R8" s="323"/>
    </row>
    <row r="9" spans="1:18" hidden="1" x14ac:dyDescent="0.3">
      <c r="A9" s="324"/>
      <c r="B9" s="66" t="s">
        <v>57</v>
      </c>
      <c r="C9" s="66"/>
      <c r="D9" s="66"/>
      <c r="E9" s="66"/>
      <c r="F9" s="66" t="s">
        <v>15</v>
      </c>
      <c r="G9" s="66"/>
      <c r="H9" s="66"/>
      <c r="I9" s="323"/>
      <c r="J9" s="324"/>
      <c r="K9" s="66" t="s">
        <v>57</v>
      </c>
      <c r="L9" s="66"/>
      <c r="M9" s="66"/>
      <c r="N9" s="66"/>
      <c r="O9" s="66" t="s">
        <v>15</v>
      </c>
      <c r="P9" s="66"/>
      <c r="Q9" s="66"/>
      <c r="R9" s="323"/>
    </row>
    <row r="10" spans="1:18" hidden="1" x14ac:dyDescent="0.3">
      <c r="A10" s="322"/>
      <c r="B10" s="44" t="s">
        <v>20</v>
      </c>
      <c r="C10" s="44" t="s">
        <v>63</v>
      </c>
      <c r="D10" s="162" t="s">
        <v>638</v>
      </c>
      <c r="E10" s="44"/>
      <c r="F10" s="44" t="s">
        <v>24</v>
      </c>
      <c r="G10" s="44" t="s">
        <v>63</v>
      </c>
      <c r="H10" s="162" t="s">
        <v>519</v>
      </c>
      <c r="I10" s="323"/>
      <c r="J10" s="322"/>
      <c r="K10" s="44" t="s">
        <v>20</v>
      </c>
      <c r="L10" s="44" t="s">
        <v>63</v>
      </c>
      <c r="M10" s="162" t="s">
        <v>638</v>
      </c>
      <c r="N10" s="44"/>
      <c r="O10" s="44" t="s">
        <v>24</v>
      </c>
      <c r="P10" s="44" t="s">
        <v>63</v>
      </c>
      <c r="Q10" s="162" t="s">
        <v>519</v>
      </c>
      <c r="R10" s="323"/>
    </row>
    <row r="11" spans="1:18" hidden="1" x14ac:dyDescent="0.3">
      <c r="A11" s="322"/>
      <c r="B11" s="325" t="s">
        <v>22</v>
      </c>
      <c r="C11" s="44" t="s">
        <v>63</v>
      </c>
      <c r="D11" s="162" t="s">
        <v>484</v>
      </c>
      <c r="E11" s="44"/>
      <c r="F11" s="44" t="s">
        <v>25</v>
      </c>
      <c r="G11" s="44" t="s">
        <v>63</v>
      </c>
      <c r="H11" s="162" t="s">
        <v>648</v>
      </c>
      <c r="I11" s="323"/>
      <c r="J11" s="322"/>
      <c r="K11" s="325" t="s">
        <v>22</v>
      </c>
      <c r="L11" s="44" t="s">
        <v>63</v>
      </c>
      <c r="M11" s="162" t="s">
        <v>484</v>
      </c>
      <c r="N11" s="44"/>
      <c r="O11" s="44" t="s">
        <v>25</v>
      </c>
      <c r="P11" s="44" t="s">
        <v>63</v>
      </c>
      <c r="Q11" s="162" t="s">
        <v>648</v>
      </c>
      <c r="R11" s="323"/>
    </row>
    <row r="12" spans="1:18" hidden="1" x14ac:dyDescent="0.3">
      <c r="A12" s="322"/>
      <c r="B12" s="325" t="s">
        <v>21</v>
      </c>
      <c r="C12" s="11" t="s">
        <v>63</v>
      </c>
      <c r="D12" s="162" t="s">
        <v>484</v>
      </c>
      <c r="E12" s="44"/>
      <c r="F12" s="44" t="s">
        <v>26</v>
      </c>
      <c r="G12" s="11" t="s">
        <v>63</v>
      </c>
      <c r="H12" s="686" t="s">
        <v>653</v>
      </c>
      <c r="I12" s="323"/>
      <c r="J12" s="322"/>
      <c r="K12" s="325" t="s">
        <v>21</v>
      </c>
      <c r="L12" s="11" t="s">
        <v>63</v>
      </c>
      <c r="M12" s="162" t="s">
        <v>484</v>
      </c>
      <c r="N12" s="44"/>
      <c r="O12" s="44" t="s">
        <v>26</v>
      </c>
      <c r="P12" s="11" t="s">
        <v>63</v>
      </c>
      <c r="Q12" s="162" t="s">
        <v>649</v>
      </c>
      <c r="R12" s="323"/>
    </row>
    <row r="13" spans="1:18" hidden="1" x14ac:dyDescent="0.3">
      <c r="A13" s="322"/>
      <c r="B13" s="44" t="s">
        <v>23</v>
      </c>
      <c r="C13" s="44" t="s">
        <v>63</v>
      </c>
      <c r="D13" s="162" t="s">
        <v>518</v>
      </c>
      <c r="E13" s="44"/>
      <c r="F13" s="44" t="s">
        <v>27</v>
      </c>
      <c r="G13" s="44" t="s">
        <v>63</v>
      </c>
      <c r="H13" s="686" t="s">
        <v>654</v>
      </c>
      <c r="I13" s="323"/>
      <c r="J13" s="322"/>
      <c r="K13" s="44" t="s">
        <v>23</v>
      </c>
      <c r="L13" s="44" t="s">
        <v>63</v>
      </c>
      <c r="M13" s="162" t="s">
        <v>518</v>
      </c>
      <c r="N13" s="44"/>
      <c r="O13" s="44" t="s">
        <v>27</v>
      </c>
      <c r="P13" s="44" t="s">
        <v>63</v>
      </c>
      <c r="Q13" s="686" t="s">
        <v>650</v>
      </c>
      <c r="R13" s="323"/>
    </row>
    <row r="14" spans="1:18" ht="9" hidden="1" customHeight="1" x14ac:dyDescent="0.3">
      <c r="A14" s="322"/>
      <c r="B14" s="44"/>
      <c r="C14" s="44"/>
      <c r="D14" s="44"/>
      <c r="E14" s="44"/>
      <c r="F14" s="44"/>
      <c r="G14" s="44"/>
      <c r="H14" s="44"/>
      <c r="I14" s="323"/>
      <c r="J14" s="322"/>
      <c r="K14" s="44"/>
      <c r="L14" s="44"/>
      <c r="M14" s="44"/>
      <c r="N14" s="44"/>
      <c r="O14" s="44"/>
      <c r="P14" s="44"/>
      <c r="Q14" s="44"/>
      <c r="R14" s="323"/>
    </row>
    <row r="15" spans="1:18" s="82" customFormat="1" ht="13.5" hidden="1" x14ac:dyDescent="0.25">
      <c r="A15" s="326"/>
      <c r="B15" s="71" t="s">
        <v>58</v>
      </c>
      <c r="C15" s="71"/>
      <c r="D15" s="71"/>
      <c r="E15" s="71"/>
      <c r="F15" s="71"/>
      <c r="G15" s="71"/>
      <c r="H15" s="71"/>
      <c r="I15" s="327"/>
      <c r="J15" s="326"/>
      <c r="K15" s="71" t="s">
        <v>58</v>
      </c>
      <c r="L15" s="71"/>
      <c r="M15" s="71"/>
      <c r="N15" s="71"/>
      <c r="O15" s="71"/>
      <c r="P15" s="71"/>
      <c r="Q15" s="71"/>
      <c r="R15" s="327"/>
    </row>
    <row r="16" spans="1:18" hidden="1" x14ac:dyDescent="0.3">
      <c r="A16" s="322"/>
      <c r="B16" s="44" t="s">
        <v>221</v>
      </c>
      <c r="C16" s="44" t="s">
        <v>63</v>
      </c>
      <c r="D16" s="162" t="s">
        <v>652</v>
      </c>
      <c r="E16" s="44"/>
      <c r="F16" s="44" t="s">
        <v>29</v>
      </c>
      <c r="G16" s="44" t="s">
        <v>63</v>
      </c>
      <c r="H16" s="162" t="s">
        <v>251</v>
      </c>
      <c r="I16" s="323"/>
      <c r="J16" s="322"/>
      <c r="K16" s="44" t="s">
        <v>221</v>
      </c>
      <c r="L16" s="44" t="s">
        <v>63</v>
      </c>
      <c r="M16" s="162" t="s">
        <v>651</v>
      </c>
      <c r="N16" s="44"/>
      <c r="O16" s="44" t="s">
        <v>29</v>
      </c>
      <c r="P16" s="44" t="s">
        <v>63</v>
      </c>
      <c r="Q16" s="162" t="s">
        <v>251</v>
      </c>
      <c r="R16" s="323"/>
    </row>
    <row r="17" spans="1:18" hidden="1" x14ac:dyDescent="0.3">
      <c r="A17" s="322"/>
      <c r="B17" s="44" t="s">
        <v>222</v>
      </c>
      <c r="C17" s="44" t="s">
        <v>63</v>
      </c>
      <c r="D17" s="162" t="s">
        <v>625</v>
      </c>
      <c r="E17" s="44"/>
      <c r="F17" s="44" t="s">
        <v>30</v>
      </c>
      <c r="G17" s="44" t="s">
        <v>63</v>
      </c>
      <c r="H17" s="162" t="s">
        <v>251</v>
      </c>
      <c r="I17" s="323"/>
      <c r="J17" s="322"/>
      <c r="K17" s="44" t="s">
        <v>222</v>
      </c>
      <c r="L17" s="44" t="s">
        <v>63</v>
      </c>
      <c r="M17" s="162" t="s">
        <v>625</v>
      </c>
      <c r="N17" s="44"/>
      <c r="O17" s="44" t="s">
        <v>30</v>
      </c>
      <c r="P17" s="44" t="s">
        <v>63</v>
      </c>
      <c r="Q17" s="162" t="s">
        <v>251</v>
      </c>
      <c r="R17" s="323"/>
    </row>
    <row r="18" spans="1:18" hidden="1" x14ac:dyDescent="0.3">
      <c r="A18" s="322"/>
      <c r="B18" s="44" t="s">
        <v>67</v>
      </c>
      <c r="C18" s="44" t="s">
        <v>63</v>
      </c>
      <c r="D18" s="214" t="s">
        <v>639</v>
      </c>
      <c r="E18" s="44"/>
      <c r="F18" s="44" t="s">
        <v>31</v>
      </c>
      <c r="G18" s="44" t="s">
        <v>63</v>
      </c>
      <c r="H18" s="162" t="s">
        <v>520</v>
      </c>
      <c r="I18" s="323"/>
      <c r="J18" s="322"/>
      <c r="K18" s="44" t="s">
        <v>67</v>
      </c>
      <c r="L18" s="44" t="s">
        <v>63</v>
      </c>
      <c r="M18" s="214" t="s">
        <v>639</v>
      </c>
      <c r="N18" s="44"/>
      <c r="O18" s="44" t="s">
        <v>31</v>
      </c>
      <c r="P18" s="44" t="s">
        <v>63</v>
      </c>
      <c r="Q18" s="162" t="s">
        <v>520</v>
      </c>
      <c r="R18" s="323"/>
    </row>
    <row r="19" spans="1:18" hidden="1" x14ac:dyDescent="0.3">
      <c r="A19" s="322"/>
      <c r="B19" s="44" t="s">
        <v>28</v>
      </c>
      <c r="C19" s="44" t="s">
        <v>63</v>
      </c>
      <c r="D19" s="426" t="s">
        <v>251</v>
      </c>
      <c r="E19" s="44"/>
      <c r="F19" s="44" t="s">
        <v>32</v>
      </c>
      <c r="G19" s="44" t="s">
        <v>63</v>
      </c>
      <c r="H19" s="162" t="s">
        <v>517</v>
      </c>
      <c r="I19" s="323"/>
      <c r="J19" s="322"/>
      <c r="K19" s="44" t="s">
        <v>28</v>
      </c>
      <c r="L19" s="44" t="s">
        <v>63</v>
      </c>
      <c r="M19" s="426" t="s">
        <v>251</v>
      </c>
      <c r="N19" s="44"/>
      <c r="O19" s="44" t="s">
        <v>32</v>
      </c>
      <c r="P19" s="44" t="s">
        <v>63</v>
      </c>
      <c r="Q19" s="162" t="s">
        <v>517</v>
      </c>
      <c r="R19" s="323"/>
    </row>
    <row r="20" spans="1:18" ht="9" hidden="1" customHeight="1" x14ac:dyDescent="0.3">
      <c r="A20" s="322"/>
      <c r="B20" s="44"/>
      <c r="C20" s="44"/>
      <c r="D20" s="44"/>
      <c r="E20" s="44"/>
      <c r="F20" s="44"/>
      <c r="G20" s="44"/>
      <c r="H20" s="44"/>
      <c r="I20" s="323"/>
      <c r="J20" s="322"/>
      <c r="K20" s="44"/>
      <c r="L20" s="44"/>
      <c r="M20" s="44"/>
      <c r="N20" s="44"/>
      <c r="O20" s="44"/>
      <c r="P20" s="44"/>
      <c r="Q20" s="44"/>
      <c r="R20" s="323"/>
    </row>
    <row r="21" spans="1:18" s="82" customFormat="1" ht="13.5" hidden="1" x14ac:dyDescent="0.25">
      <c r="A21" s="326"/>
      <c r="B21" s="71" t="s">
        <v>59</v>
      </c>
      <c r="C21" s="71"/>
      <c r="D21" s="71"/>
      <c r="E21" s="71"/>
      <c r="F21" s="71"/>
      <c r="G21" s="71"/>
      <c r="H21" s="71"/>
      <c r="I21" s="327"/>
      <c r="J21" s="326"/>
      <c r="K21" s="71" t="s">
        <v>59</v>
      </c>
      <c r="L21" s="71"/>
      <c r="M21" s="71"/>
      <c r="N21" s="71"/>
      <c r="O21" s="71"/>
      <c r="P21" s="71"/>
      <c r="Q21" s="71"/>
      <c r="R21" s="327"/>
    </row>
    <row r="22" spans="1:18" hidden="1" x14ac:dyDescent="0.3">
      <c r="A22" s="322"/>
      <c r="B22" s="44" t="s">
        <v>33</v>
      </c>
      <c r="C22" s="44" t="s">
        <v>63</v>
      </c>
      <c r="D22" s="162" t="s">
        <v>640</v>
      </c>
      <c r="E22" s="44"/>
      <c r="F22" s="44" t="s">
        <v>220</v>
      </c>
      <c r="G22" s="11" t="s">
        <v>63</v>
      </c>
      <c r="H22" s="162" t="s">
        <v>585</v>
      </c>
      <c r="I22" s="323"/>
      <c r="J22" s="322"/>
      <c r="K22" s="44" t="s">
        <v>33</v>
      </c>
      <c r="L22" s="44" t="s">
        <v>63</v>
      </c>
      <c r="M22" s="162" t="s">
        <v>640</v>
      </c>
      <c r="N22" s="44"/>
      <c r="O22" s="44" t="s">
        <v>220</v>
      </c>
      <c r="P22" s="11" t="s">
        <v>63</v>
      </c>
      <c r="Q22" s="162" t="s">
        <v>585</v>
      </c>
      <c r="R22" s="323"/>
    </row>
    <row r="23" spans="1:18" hidden="1" x14ac:dyDescent="0.3">
      <c r="A23" s="322"/>
      <c r="B23" s="44" t="s">
        <v>34</v>
      </c>
      <c r="C23" s="44" t="s">
        <v>63</v>
      </c>
      <c r="D23" s="162" t="s">
        <v>647</v>
      </c>
      <c r="E23" s="44"/>
      <c r="F23" s="44" t="s">
        <v>68</v>
      </c>
      <c r="G23" s="11" t="s">
        <v>63</v>
      </c>
      <c r="H23" s="162" t="s">
        <v>646</v>
      </c>
      <c r="I23" s="323"/>
      <c r="J23" s="322"/>
      <c r="K23" s="44" t="s">
        <v>34</v>
      </c>
      <c r="L23" s="44" t="s">
        <v>63</v>
      </c>
      <c r="M23" s="162" t="s">
        <v>647</v>
      </c>
      <c r="N23" s="44"/>
      <c r="O23" s="44" t="s">
        <v>68</v>
      </c>
      <c r="P23" s="11" t="s">
        <v>63</v>
      </c>
      <c r="Q23" s="162" t="s">
        <v>646</v>
      </c>
      <c r="R23" s="323"/>
    </row>
    <row r="24" spans="1:18" ht="9" hidden="1" customHeight="1" x14ac:dyDescent="0.3">
      <c r="A24" s="322"/>
      <c r="B24" s="44"/>
      <c r="C24" s="44"/>
      <c r="D24" s="44"/>
      <c r="E24" s="44"/>
      <c r="F24" s="44"/>
      <c r="G24" s="11"/>
      <c r="H24" s="11"/>
      <c r="I24" s="323"/>
      <c r="J24" s="322"/>
      <c r="K24" s="44"/>
      <c r="L24" s="44"/>
      <c r="M24" s="44"/>
      <c r="N24" s="44"/>
      <c r="O24" s="44"/>
      <c r="P24" s="11"/>
      <c r="Q24" s="11"/>
      <c r="R24" s="323"/>
    </row>
    <row r="25" spans="1:18" s="82" customFormat="1" ht="13.5" hidden="1" x14ac:dyDescent="0.25">
      <c r="A25" s="326"/>
      <c r="B25" s="71" t="s">
        <v>60</v>
      </c>
      <c r="C25" s="71"/>
      <c r="D25" s="71"/>
      <c r="E25" s="71"/>
      <c r="F25" s="17" t="s">
        <v>65</v>
      </c>
      <c r="G25" s="71"/>
      <c r="H25" s="71"/>
      <c r="I25" s="327"/>
      <c r="J25" s="326"/>
      <c r="K25" s="71" t="s">
        <v>60</v>
      </c>
      <c r="L25" s="71"/>
      <c r="M25" s="71"/>
      <c r="N25" s="71"/>
      <c r="O25" s="17" t="s">
        <v>65</v>
      </c>
      <c r="P25" s="71"/>
      <c r="Q25" s="71"/>
      <c r="R25" s="327"/>
    </row>
    <row r="26" spans="1:18" hidden="1" x14ac:dyDescent="0.3">
      <c r="A26" s="322"/>
      <c r="B26" s="44" t="s">
        <v>69</v>
      </c>
      <c r="C26" s="44" t="s">
        <v>63</v>
      </c>
      <c r="D26" s="684">
        <v>2016</v>
      </c>
      <c r="E26" s="44"/>
      <c r="F26" s="319" t="s">
        <v>37</v>
      </c>
      <c r="G26" s="44" t="s">
        <v>63</v>
      </c>
      <c r="H26" s="162" t="s">
        <v>641</v>
      </c>
      <c r="I26" s="323"/>
      <c r="J26" s="322"/>
      <c r="K26" s="44" t="s">
        <v>69</v>
      </c>
      <c r="L26" s="44" t="s">
        <v>63</v>
      </c>
      <c r="M26" s="684">
        <v>2016</v>
      </c>
      <c r="N26" s="325"/>
      <c r="O26" s="685" t="s">
        <v>37</v>
      </c>
      <c r="P26" s="325" t="s">
        <v>63</v>
      </c>
      <c r="Q26" s="162" t="s">
        <v>641</v>
      </c>
      <c r="R26" s="323"/>
    </row>
    <row r="27" spans="1:18" hidden="1" x14ac:dyDescent="0.3">
      <c r="A27" s="322"/>
      <c r="B27" s="44" t="s">
        <v>219</v>
      </c>
      <c r="C27" s="44" t="s">
        <v>63</v>
      </c>
      <c r="D27" s="162" t="s">
        <v>642</v>
      </c>
      <c r="E27" s="44"/>
      <c r="F27" s="319" t="s">
        <v>38</v>
      </c>
      <c r="G27" s="44" t="s">
        <v>63</v>
      </c>
      <c r="H27" s="162" t="s">
        <v>643</v>
      </c>
      <c r="I27" s="323"/>
      <c r="J27" s="322"/>
      <c r="K27" s="44" t="s">
        <v>219</v>
      </c>
      <c r="L27" s="44" t="s">
        <v>63</v>
      </c>
      <c r="M27" s="162" t="s">
        <v>642</v>
      </c>
      <c r="N27" s="325"/>
      <c r="O27" s="685" t="s">
        <v>38</v>
      </c>
      <c r="P27" s="325" t="s">
        <v>63</v>
      </c>
      <c r="Q27" s="162" t="s">
        <v>643</v>
      </c>
      <c r="R27" s="323"/>
    </row>
    <row r="28" spans="1:18" hidden="1" x14ac:dyDescent="0.3">
      <c r="A28" s="322"/>
      <c r="B28" s="44" t="s">
        <v>35</v>
      </c>
      <c r="C28" s="44" t="s">
        <v>63</v>
      </c>
      <c r="D28" s="162" t="s">
        <v>408</v>
      </c>
      <c r="E28" s="44"/>
      <c r="F28" s="319" t="s">
        <v>39</v>
      </c>
      <c r="G28" s="44" t="s">
        <v>63</v>
      </c>
      <c r="H28" s="162" t="s">
        <v>644</v>
      </c>
      <c r="I28" s="323"/>
      <c r="J28" s="322"/>
      <c r="K28" s="44" t="s">
        <v>35</v>
      </c>
      <c r="L28" s="44" t="s">
        <v>63</v>
      </c>
      <c r="M28" s="162" t="s">
        <v>408</v>
      </c>
      <c r="N28" s="325"/>
      <c r="O28" s="685" t="s">
        <v>39</v>
      </c>
      <c r="P28" s="325" t="s">
        <v>63</v>
      </c>
      <c r="Q28" s="162" t="s">
        <v>644</v>
      </c>
      <c r="R28" s="323"/>
    </row>
    <row r="29" spans="1:18" hidden="1" x14ac:dyDescent="0.3">
      <c r="A29" s="322"/>
      <c r="B29" s="44" t="s">
        <v>36</v>
      </c>
      <c r="C29" s="44" t="s">
        <v>63</v>
      </c>
      <c r="D29" s="162" t="s">
        <v>408</v>
      </c>
      <c r="E29" s="44"/>
      <c r="F29" s="319" t="s">
        <v>40</v>
      </c>
      <c r="G29" s="44" t="s">
        <v>63</v>
      </c>
      <c r="H29" s="162" t="s">
        <v>645</v>
      </c>
      <c r="I29" s="323"/>
      <c r="J29" s="322"/>
      <c r="K29" s="44" t="s">
        <v>36</v>
      </c>
      <c r="L29" s="44" t="s">
        <v>63</v>
      </c>
      <c r="M29" s="162" t="s">
        <v>408</v>
      </c>
      <c r="N29" s="325"/>
      <c r="O29" s="685" t="s">
        <v>40</v>
      </c>
      <c r="P29" s="325" t="s">
        <v>63</v>
      </c>
      <c r="Q29" s="162" t="s">
        <v>645</v>
      </c>
      <c r="R29" s="323"/>
    </row>
    <row r="30" spans="1:18" ht="9" hidden="1" customHeight="1" x14ac:dyDescent="0.3">
      <c r="A30" s="322"/>
      <c r="B30" s="44"/>
      <c r="C30" s="44"/>
      <c r="D30" s="11"/>
      <c r="E30" s="44"/>
      <c r="F30" s="44"/>
      <c r="G30" s="44"/>
      <c r="H30" s="44"/>
      <c r="I30" s="323"/>
      <c r="J30" s="322"/>
      <c r="K30" s="44"/>
      <c r="L30" s="44"/>
      <c r="M30" s="11"/>
      <c r="N30" s="44"/>
      <c r="O30" s="44"/>
      <c r="P30" s="44"/>
      <c r="Q30" s="44"/>
      <c r="R30" s="323"/>
    </row>
    <row r="31" spans="1:18" s="82" customFormat="1" ht="13.5" hidden="1" x14ac:dyDescent="0.25">
      <c r="A31" s="326"/>
      <c r="B31" s="71" t="s">
        <v>61</v>
      </c>
      <c r="C31" s="71"/>
      <c r="D31" s="71"/>
      <c r="E31" s="71"/>
      <c r="F31" s="71"/>
      <c r="G31" s="71"/>
      <c r="H31" s="71"/>
      <c r="I31" s="327"/>
      <c r="J31" s="326"/>
      <c r="K31" s="71" t="s">
        <v>61</v>
      </c>
      <c r="L31" s="71"/>
      <c r="M31" s="71"/>
      <c r="N31" s="71"/>
      <c r="O31" s="71"/>
      <c r="P31" s="71"/>
      <c r="Q31" s="71"/>
      <c r="R31" s="327"/>
    </row>
    <row r="32" spans="1:18" hidden="1" x14ac:dyDescent="0.3">
      <c r="A32" s="328"/>
      <c r="B32" s="44" t="s">
        <v>41</v>
      </c>
      <c r="C32" s="44" t="s">
        <v>63</v>
      </c>
      <c r="D32" s="162" t="s">
        <v>409</v>
      </c>
      <c r="E32" s="44"/>
      <c r="F32" s="44" t="s">
        <v>45</v>
      </c>
      <c r="G32" s="44" t="s">
        <v>63</v>
      </c>
      <c r="H32" s="162" t="s">
        <v>409</v>
      </c>
      <c r="I32" s="323"/>
      <c r="J32" s="328"/>
      <c r="K32" s="44" t="s">
        <v>41</v>
      </c>
      <c r="L32" s="44" t="s">
        <v>63</v>
      </c>
      <c r="M32" s="162" t="s">
        <v>409</v>
      </c>
      <c r="N32" s="325"/>
      <c r="O32" s="325" t="s">
        <v>45</v>
      </c>
      <c r="P32" s="325" t="s">
        <v>63</v>
      </c>
      <c r="Q32" s="162" t="s">
        <v>409</v>
      </c>
      <c r="R32" s="323"/>
    </row>
    <row r="33" spans="1:22" hidden="1" x14ac:dyDescent="0.3">
      <c r="A33" s="328"/>
      <c r="B33" s="44" t="s">
        <v>42</v>
      </c>
      <c r="C33" s="44" t="s">
        <v>63</v>
      </c>
      <c r="D33" s="162" t="s">
        <v>403</v>
      </c>
      <c r="E33" s="44"/>
      <c r="F33" s="44" t="s">
        <v>46</v>
      </c>
      <c r="G33" s="44" t="s">
        <v>63</v>
      </c>
      <c r="H33" s="162" t="s">
        <v>409</v>
      </c>
      <c r="I33" s="323"/>
      <c r="J33" s="328"/>
      <c r="K33" s="44" t="s">
        <v>42</v>
      </c>
      <c r="L33" s="44" t="s">
        <v>63</v>
      </c>
      <c r="M33" s="162" t="s">
        <v>403</v>
      </c>
      <c r="N33" s="325"/>
      <c r="O33" s="325" t="s">
        <v>46</v>
      </c>
      <c r="P33" s="325" t="s">
        <v>63</v>
      </c>
      <c r="Q33" s="162" t="s">
        <v>409</v>
      </c>
      <c r="R33" s="323"/>
    </row>
    <row r="34" spans="1:22" hidden="1" x14ac:dyDescent="0.3">
      <c r="A34" s="328"/>
      <c r="B34" s="44" t="s">
        <v>43</v>
      </c>
      <c r="C34" s="44" t="s">
        <v>63</v>
      </c>
      <c r="D34" s="162" t="s">
        <v>409</v>
      </c>
      <c r="E34" s="44"/>
      <c r="F34" s="44" t="s">
        <v>47</v>
      </c>
      <c r="G34" s="44" t="s">
        <v>63</v>
      </c>
      <c r="H34" s="162" t="s">
        <v>409</v>
      </c>
      <c r="I34" s="323"/>
      <c r="J34" s="328"/>
      <c r="K34" s="44" t="s">
        <v>43</v>
      </c>
      <c r="L34" s="44" t="s">
        <v>63</v>
      </c>
      <c r="M34" s="162" t="s">
        <v>409</v>
      </c>
      <c r="N34" s="325"/>
      <c r="O34" s="325" t="s">
        <v>47</v>
      </c>
      <c r="P34" s="325" t="s">
        <v>63</v>
      </c>
      <c r="Q34" s="162" t="s">
        <v>409</v>
      </c>
      <c r="R34" s="323"/>
    </row>
    <row r="35" spans="1:22" hidden="1" x14ac:dyDescent="0.3">
      <c r="A35" s="328"/>
      <c r="B35" s="44" t="s">
        <v>44</v>
      </c>
      <c r="C35" s="44" t="s">
        <v>63</v>
      </c>
      <c r="D35" s="162" t="s">
        <v>409</v>
      </c>
      <c r="E35" s="44"/>
      <c r="F35" s="44" t="s">
        <v>48</v>
      </c>
      <c r="G35" s="44" t="s">
        <v>63</v>
      </c>
      <c r="H35" s="162" t="s">
        <v>409</v>
      </c>
      <c r="I35" s="323"/>
      <c r="J35" s="328"/>
      <c r="K35" s="44" t="s">
        <v>44</v>
      </c>
      <c r="L35" s="44" t="s">
        <v>63</v>
      </c>
      <c r="M35" s="162" t="s">
        <v>409</v>
      </c>
      <c r="N35" s="325"/>
      <c r="O35" s="325" t="s">
        <v>48</v>
      </c>
      <c r="P35" s="325" t="s">
        <v>63</v>
      </c>
      <c r="Q35" s="162" t="s">
        <v>409</v>
      </c>
      <c r="R35" s="323"/>
    </row>
    <row r="36" spans="1:22" ht="9" hidden="1" customHeight="1" x14ac:dyDescent="0.3">
      <c r="A36" s="328"/>
      <c r="B36" s="44"/>
      <c r="C36" s="44"/>
      <c r="D36" s="47"/>
      <c r="E36" s="44"/>
      <c r="F36" s="44"/>
      <c r="G36" s="44"/>
      <c r="H36" s="47"/>
      <c r="I36" s="323"/>
      <c r="J36" s="328"/>
      <c r="K36" s="44"/>
      <c r="L36" s="44"/>
      <c r="M36" s="47"/>
      <c r="N36" s="44"/>
      <c r="O36" s="44"/>
      <c r="P36" s="44"/>
      <c r="Q36" s="47"/>
      <c r="R36" s="323"/>
    </row>
    <row r="37" spans="1:22" s="82" customFormat="1" ht="13.5" hidden="1" x14ac:dyDescent="0.25">
      <c r="A37" s="326"/>
      <c r="B37" s="71" t="s">
        <v>49</v>
      </c>
      <c r="C37" s="71"/>
      <c r="D37" s="71"/>
      <c r="E37" s="71"/>
      <c r="F37" s="71"/>
      <c r="G37" s="71"/>
      <c r="H37" s="741"/>
      <c r="I37" s="327"/>
      <c r="J37" s="326"/>
      <c r="K37" s="71" t="s">
        <v>49</v>
      </c>
      <c r="L37" s="71"/>
      <c r="M37" s="71"/>
      <c r="N37" s="71"/>
      <c r="O37" s="71"/>
      <c r="P37" s="71"/>
      <c r="Q37" s="71"/>
      <c r="R37" s="327"/>
    </row>
    <row r="38" spans="1:22" s="82" customFormat="1" ht="13.5" hidden="1" x14ac:dyDescent="0.25">
      <c r="A38" s="326"/>
      <c r="B38" s="71" t="s">
        <v>70</v>
      </c>
      <c r="C38" s="71"/>
      <c r="D38" s="71"/>
      <c r="E38" s="71"/>
      <c r="F38" s="71" t="s">
        <v>71</v>
      </c>
      <c r="G38" s="71"/>
      <c r="H38" s="71"/>
      <c r="I38" s="327"/>
      <c r="J38" s="326"/>
      <c r="K38" s="71" t="s">
        <v>70</v>
      </c>
      <c r="L38" s="71"/>
      <c r="M38" s="71"/>
      <c r="N38" s="71"/>
      <c r="O38" s="71" t="s">
        <v>71</v>
      </c>
      <c r="P38" s="71"/>
      <c r="Q38" s="71"/>
      <c r="R38" s="327"/>
    </row>
    <row r="39" spans="1:22" hidden="1" x14ac:dyDescent="0.3">
      <c r="A39" s="324"/>
      <c r="B39" s="38" t="s">
        <v>53</v>
      </c>
      <c r="C39" s="44" t="s">
        <v>63</v>
      </c>
      <c r="D39" s="683">
        <v>945</v>
      </c>
      <c r="E39" s="38"/>
      <c r="F39" s="38" t="s">
        <v>53</v>
      </c>
      <c r="G39" s="44" t="s">
        <v>63</v>
      </c>
      <c r="H39" s="49">
        <v>137</v>
      </c>
      <c r="I39" s="323"/>
      <c r="J39" s="324"/>
      <c r="K39" s="38" t="s">
        <v>53</v>
      </c>
      <c r="L39" s="44" t="s">
        <v>63</v>
      </c>
      <c r="M39" s="683">
        <v>945</v>
      </c>
      <c r="N39" s="38"/>
      <c r="O39" s="38" t="s">
        <v>53</v>
      </c>
      <c r="P39" s="44" t="s">
        <v>63</v>
      </c>
      <c r="Q39" s="683">
        <v>154</v>
      </c>
      <c r="R39" s="323"/>
      <c r="V39" s="81">
        <v>291</v>
      </c>
    </row>
    <row r="40" spans="1:22" hidden="1" x14ac:dyDescent="0.3">
      <c r="A40" s="322"/>
      <c r="B40" s="44" t="s">
        <v>54</v>
      </c>
      <c r="C40" s="44" t="s">
        <v>63</v>
      </c>
      <c r="D40" s="683">
        <v>335000</v>
      </c>
      <c r="E40" s="44"/>
      <c r="F40" s="44" t="s">
        <v>54</v>
      </c>
      <c r="G40" s="44" t="s">
        <v>63</v>
      </c>
      <c r="H40" s="683">
        <v>5600000</v>
      </c>
      <c r="I40" s="323"/>
      <c r="J40" s="322"/>
      <c r="K40" s="44" t="s">
        <v>54</v>
      </c>
      <c r="L40" s="44" t="s">
        <v>63</v>
      </c>
      <c r="M40" s="683">
        <v>335000</v>
      </c>
      <c r="N40" s="44"/>
      <c r="O40" s="44" t="s">
        <v>54</v>
      </c>
      <c r="P40" s="44" t="s">
        <v>63</v>
      </c>
      <c r="Q40" s="683">
        <v>5600000</v>
      </c>
      <c r="R40" s="323"/>
      <c r="T40" s="783">
        <f>2998402908/291</f>
        <v>10303790.06185567</v>
      </c>
      <c r="V40" s="81">
        <v>7500000</v>
      </c>
    </row>
    <row r="41" spans="1:22" hidden="1" x14ac:dyDescent="0.3">
      <c r="A41" s="322"/>
      <c r="B41" s="329" t="s">
        <v>501</v>
      </c>
      <c r="C41" s="329" t="s">
        <v>63</v>
      </c>
      <c r="D41" s="165">
        <f>D40*D39</f>
        <v>316575000</v>
      </c>
      <c r="E41" s="44"/>
      <c r="F41" s="329" t="s">
        <v>501</v>
      </c>
      <c r="G41" s="329" t="s">
        <v>63</v>
      </c>
      <c r="H41" s="165">
        <f>H39*H40</f>
        <v>767200000</v>
      </c>
      <c r="I41" s="323"/>
      <c r="J41" s="322"/>
      <c r="K41" s="329" t="s">
        <v>501</v>
      </c>
      <c r="L41" s="329" t="s">
        <v>63</v>
      </c>
      <c r="M41" s="165">
        <f>M40*M39</f>
        <v>316575000</v>
      </c>
      <c r="N41" s="44"/>
      <c r="O41" s="329" t="s">
        <v>501</v>
      </c>
      <c r="P41" s="329" t="s">
        <v>63</v>
      </c>
      <c r="Q41" s="165">
        <f>Q39*Q40</f>
        <v>862400000</v>
      </c>
      <c r="R41" s="323"/>
      <c r="T41" s="695"/>
      <c r="V41" s="694">
        <f>V39*V40</f>
        <v>2182500000</v>
      </c>
    </row>
    <row r="42" spans="1:22" hidden="1" x14ac:dyDescent="0.3">
      <c r="A42" s="330"/>
      <c r="B42" s="38" t="s">
        <v>50</v>
      </c>
      <c r="C42" s="44" t="s">
        <v>63</v>
      </c>
      <c r="D42" s="683">
        <v>110</v>
      </c>
      <c r="E42" s="44"/>
      <c r="F42" s="331" t="s">
        <v>363</v>
      </c>
      <c r="G42" s="44" t="s">
        <v>63</v>
      </c>
      <c r="H42" s="49">
        <v>165</v>
      </c>
      <c r="I42" s="323"/>
      <c r="J42" s="330"/>
      <c r="K42" s="38" t="s">
        <v>50</v>
      </c>
      <c r="L42" s="44" t="s">
        <v>63</v>
      </c>
      <c r="M42" s="683">
        <v>110</v>
      </c>
      <c r="N42" s="44"/>
      <c r="O42" s="331" t="s">
        <v>363</v>
      </c>
      <c r="P42" s="44" t="s">
        <v>63</v>
      </c>
      <c r="Q42" s="49">
        <v>165</v>
      </c>
      <c r="R42" s="323"/>
      <c r="S42" s="695"/>
    </row>
    <row r="43" spans="1:22" hidden="1" x14ac:dyDescent="0.3">
      <c r="A43" s="322"/>
      <c r="B43" s="38" t="s">
        <v>55</v>
      </c>
      <c r="C43" s="44" t="s">
        <v>63</v>
      </c>
      <c r="D43" s="683">
        <v>365000</v>
      </c>
      <c r="E43" s="44"/>
      <c r="F43" s="11" t="s">
        <v>364</v>
      </c>
      <c r="G43" s="44" t="s">
        <v>63</v>
      </c>
      <c r="H43" s="49">
        <v>0</v>
      </c>
      <c r="I43" s="323"/>
      <c r="J43" s="322"/>
      <c r="K43" s="38" t="s">
        <v>55</v>
      </c>
      <c r="L43" s="44" t="s">
        <v>63</v>
      </c>
      <c r="M43" s="683">
        <v>365000</v>
      </c>
      <c r="N43" s="44"/>
      <c r="O43" s="11" t="s">
        <v>364</v>
      </c>
      <c r="P43" s="44" t="s">
        <v>63</v>
      </c>
      <c r="Q43" s="49">
        <v>0</v>
      </c>
      <c r="R43" s="323"/>
    </row>
    <row r="44" spans="1:22" hidden="1" x14ac:dyDescent="0.3">
      <c r="A44" s="322"/>
      <c r="B44" s="329" t="str">
        <f>B41</f>
        <v>Nilai Wajar</v>
      </c>
      <c r="C44" s="329" t="s">
        <v>63</v>
      </c>
      <c r="D44" s="165">
        <f>D42*D43</f>
        <v>40150000</v>
      </c>
      <c r="E44" s="44"/>
      <c r="F44" s="38" t="s">
        <v>55</v>
      </c>
      <c r="G44" s="44" t="s">
        <v>63</v>
      </c>
      <c r="H44" s="49">
        <v>3800000</v>
      </c>
      <c r="I44" s="323"/>
      <c r="J44" s="322"/>
      <c r="K44" s="329" t="str">
        <f>K41</f>
        <v>Nilai Wajar</v>
      </c>
      <c r="L44" s="329" t="s">
        <v>63</v>
      </c>
      <c r="M44" s="165">
        <f>M42*M43</f>
        <v>40150000</v>
      </c>
      <c r="N44" s="44"/>
      <c r="O44" s="38" t="s">
        <v>55</v>
      </c>
      <c r="P44" s="44" t="s">
        <v>63</v>
      </c>
      <c r="Q44" s="49">
        <v>3800000</v>
      </c>
      <c r="R44" s="323"/>
    </row>
    <row r="45" spans="1:22" hidden="1" x14ac:dyDescent="0.3">
      <c r="A45" s="322"/>
      <c r="B45" s="83"/>
      <c r="C45" s="44"/>
      <c r="D45" s="49"/>
      <c r="E45" s="44"/>
      <c r="F45" s="329" t="str">
        <f>F41</f>
        <v>Nilai Wajar</v>
      </c>
      <c r="G45" s="329"/>
      <c r="H45" s="165">
        <f>(H42+H43)*H44</f>
        <v>627000000</v>
      </c>
      <c r="I45" s="323"/>
      <c r="J45" s="322"/>
      <c r="K45" s="83"/>
      <c r="L45" s="44"/>
      <c r="M45" s="49"/>
      <c r="N45" s="44"/>
      <c r="O45" s="329" t="str">
        <f>O41</f>
        <v>Nilai Wajar</v>
      </c>
      <c r="P45" s="329"/>
      <c r="Q45" s="165">
        <f>(Q42+Q43)*Q44</f>
        <v>627000000</v>
      </c>
      <c r="R45" s="323"/>
    </row>
    <row r="46" spans="1:22" s="82" customFormat="1" ht="13.5" hidden="1" x14ac:dyDescent="0.25">
      <c r="A46" s="332"/>
      <c r="B46" s="164" t="s">
        <v>502</v>
      </c>
      <c r="C46" s="164" t="s">
        <v>63</v>
      </c>
      <c r="D46" s="165">
        <f>D41+D44</f>
        <v>356725000</v>
      </c>
      <c r="E46" s="66"/>
      <c r="F46" s="164" t="s">
        <v>502</v>
      </c>
      <c r="G46" s="164" t="s">
        <v>63</v>
      </c>
      <c r="H46" s="165">
        <f>H41+H45</f>
        <v>1394200000</v>
      </c>
      <c r="I46" s="327"/>
      <c r="J46" s="332"/>
      <c r="K46" s="164" t="s">
        <v>502</v>
      </c>
      <c r="L46" s="164" t="s">
        <v>63</v>
      </c>
      <c r="M46" s="165">
        <f>M41+M44</f>
        <v>356725000</v>
      </c>
      <c r="N46" s="66"/>
      <c r="O46" s="164" t="s">
        <v>502</v>
      </c>
      <c r="P46" s="164" t="s">
        <v>63</v>
      </c>
      <c r="Q46" s="165">
        <f>Q41+Q45</f>
        <v>1489400000</v>
      </c>
      <c r="R46" s="327"/>
      <c r="T46" s="696">
        <f>Q46+H46</f>
        <v>2883600000</v>
      </c>
    </row>
    <row r="47" spans="1:22" s="82" customFormat="1" ht="13.5" hidden="1" x14ac:dyDescent="0.25">
      <c r="A47" s="332"/>
      <c r="B47" s="164" t="s">
        <v>714</v>
      </c>
      <c r="C47" s="164" t="s">
        <v>63</v>
      </c>
      <c r="D47" s="165">
        <f>D46*70%</f>
        <v>249707499.99999997</v>
      </c>
      <c r="E47" s="66"/>
      <c r="F47" s="164" t="s">
        <v>714</v>
      </c>
      <c r="G47" s="164" t="s">
        <v>63</v>
      </c>
      <c r="H47" s="165">
        <f>H46*70%</f>
        <v>975939999.99999988</v>
      </c>
      <c r="I47" s="327"/>
      <c r="J47" s="332"/>
      <c r="K47" s="164" t="s">
        <v>714</v>
      </c>
      <c r="L47" s="164" t="s">
        <v>63</v>
      </c>
      <c r="M47" s="165">
        <f>M46*70%</f>
        <v>249707499.99999997</v>
      </c>
      <c r="N47" s="66"/>
      <c r="O47" s="164" t="s">
        <v>714</v>
      </c>
      <c r="P47" s="164" t="s">
        <v>63</v>
      </c>
      <c r="Q47" s="165">
        <f>Q46*70%</f>
        <v>1042579999.9999999</v>
      </c>
      <c r="R47" s="327"/>
    </row>
    <row r="48" spans="1:22" s="82" customFormat="1" ht="13.5" hidden="1" x14ac:dyDescent="0.25">
      <c r="A48" s="332"/>
      <c r="B48" s="164" t="s">
        <v>503</v>
      </c>
      <c r="C48" s="164" t="s">
        <v>63</v>
      </c>
      <c r="D48" s="392">
        <f>D46*55%</f>
        <v>196198750.00000003</v>
      </c>
      <c r="E48" s="66"/>
      <c r="F48" s="164" t="s">
        <v>503</v>
      </c>
      <c r="G48" s="164" t="s">
        <v>63</v>
      </c>
      <c r="H48" s="392">
        <f>H46*55%</f>
        <v>766810000.00000012</v>
      </c>
      <c r="I48" s="327"/>
      <c r="J48" s="332"/>
      <c r="K48" s="164" t="s">
        <v>503</v>
      </c>
      <c r="L48" s="164" t="s">
        <v>63</v>
      </c>
      <c r="M48" s="392">
        <f>M46*55%</f>
        <v>196198750.00000003</v>
      </c>
      <c r="N48" s="66"/>
      <c r="O48" s="164" t="s">
        <v>503</v>
      </c>
      <c r="P48" s="164" t="s">
        <v>63</v>
      </c>
      <c r="Q48" s="392">
        <f>Q46*55%</f>
        <v>819170000.00000012</v>
      </c>
      <c r="R48" s="327"/>
    </row>
    <row r="49" spans="1:25" s="82" customFormat="1" ht="13.5" hidden="1" x14ac:dyDescent="0.25">
      <c r="A49" s="332"/>
      <c r="B49" s="66" t="s">
        <v>450</v>
      </c>
      <c r="C49" s="66"/>
      <c r="D49" s="220"/>
      <c r="E49" s="66"/>
      <c r="F49" s="329"/>
      <c r="G49" s="329"/>
      <c r="H49" s="220"/>
      <c r="I49" s="327"/>
      <c r="J49" s="332"/>
      <c r="K49" s="66" t="s">
        <v>450</v>
      </c>
      <c r="L49" s="66"/>
      <c r="M49" s="220"/>
      <c r="N49" s="66"/>
      <c r="O49" s="329"/>
      <c r="P49" s="329"/>
      <c r="Q49" s="220"/>
      <c r="R49" s="327"/>
    </row>
    <row r="50" spans="1:25" s="82" customFormat="1" hidden="1" x14ac:dyDescent="0.3">
      <c r="A50" s="322"/>
      <c r="B50" s="44"/>
      <c r="C50" s="44"/>
      <c r="D50" s="44"/>
      <c r="E50" s="44"/>
      <c r="F50" s="44"/>
      <c r="G50" s="333"/>
      <c r="H50" s="59"/>
      <c r="I50" s="323"/>
      <c r="J50" s="322"/>
      <c r="K50" s="44"/>
      <c r="L50" s="44"/>
      <c r="M50" s="44"/>
      <c r="N50" s="44"/>
      <c r="O50" s="44"/>
      <c r="P50" s="333"/>
      <c r="Q50" s="59"/>
      <c r="R50" s="323"/>
    </row>
    <row r="51" spans="1:25" s="82" customFormat="1" ht="13.5" hidden="1" x14ac:dyDescent="0.25">
      <c r="A51" s="332"/>
      <c r="B51" s="66" t="s">
        <v>62</v>
      </c>
      <c r="C51" s="66"/>
      <c r="D51" s="66"/>
      <c r="E51" s="66"/>
      <c r="F51" s="66"/>
      <c r="G51" s="334"/>
      <c r="H51" s="335"/>
      <c r="I51" s="327"/>
      <c r="J51" s="332"/>
      <c r="K51" s="66" t="s">
        <v>62</v>
      </c>
      <c r="L51" s="66"/>
      <c r="M51" s="66"/>
      <c r="N51" s="66"/>
      <c r="O51" s="66"/>
      <c r="P51" s="334"/>
      <c r="Q51" s="335"/>
      <c r="R51" s="327"/>
    </row>
    <row r="52" spans="1:25" s="82" customFormat="1" hidden="1" x14ac:dyDescent="0.3">
      <c r="A52" s="322"/>
      <c r="B52" s="843" t="str">
        <f>W52&amp;" "&amp;W53&amp;" "&amp;W54&amp;" "&amp;Y55&amp;" "&amp;W56&amp;" "&amp;W57</f>
        <v>Kami telah melakukan peninjauan terhadap objek di atas, dan menurut kami tanah dan atau bangunan tersebut LAYAK untuk dijadikan agunan kredit pada PT. BPR BANK WONOSOBO (PERSERODA) dengan plafon kredit (sebagai pertimbangan collateral) adalah Rp 975.940.000  Kami yakin bahwa objek yang dinilai adalah yang dimaksudkan oleh bank dan penilaian didasarkan pada data yang tersedia Hasil penilaian tidak dipengaruhi oleh kepentingan pribadi baik langsung maupun tidak langsung .</v>
      </c>
      <c r="C52" s="844"/>
      <c r="D52" s="844"/>
      <c r="E52" s="844"/>
      <c r="F52" s="844"/>
      <c r="G52" s="844"/>
      <c r="H52" s="845"/>
      <c r="I52" s="323"/>
      <c r="J52" s="322"/>
      <c r="K52" s="843" t="str">
        <f>W52&amp;" "&amp;W53&amp;" "&amp;W54&amp;" "&amp;W55&amp;" "&amp;W56&amp;" "&amp;W57</f>
        <v>Kami telah melakukan peninjauan terhadap objek di atas, dan menurut kami tanah dan atau bangunan tersebut LAYAK untuk dijadikan agunan kredit pada PT. BPR BANK WONOSOBO (PERSERODA) dengan plafon kredit (sebagai pertimbangan collateral) adalah Rp 1.042.580.000  Kami yakin bahwa objek yang dinilai adalah yang dimaksudkan oleh bank dan penilaian didasarkan pada data yang tersedia Hasil penilaian tidak dipengaruhi oleh kepentingan pribadi baik langsung maupun tidak langsung .</v>
      </c>
      <c r="L52" s="844"/>
      <c r="M52" s="844"/>
      <c r="N52" s="844"/>
      <c r="O52" s="844"/>
      <c r="P52" s="844"/>
      <c r="Q52" s="845"/>
      <c r="R52" s="323"/>
      <c r="W52" s="2" t="s">
        <v>619</v>
      </c>
      <c r="X52" s="2"/>
      <c r="Y52" s="2"/>
    </row>
    <row r="53" spans="1:25" ht="12.75" hidden="1" customHeight="1" x14ac:dyDescent="0.3">
      <c r="A53" s="324" t="s">
        <v>424</v>
      </c>
      <c r="B53" s="846"/>
      <c r="C53" s="847"/>
      <c r="D53" s="847"/>
      <c r="E53" s="847"/>
      <c r="F53" s="847"/>
      <c r="G53" s="847"/>
      <c r="H53" s="848"/>
      <c r="I53" s="323"/>
      <c r="J53" s="324" t="s">
        <v>424</v>
      </c>
      <c r="K53" s="846"/>
      <c r="L53" s="847"/>
      <c r="M53" s="847"/>
      <c r="N53" s="847"/>
      <c r="O53" s="847"/>
      <c r="P53" s="847"/>
      <c r="Q53" s="848"/>
      <c r="R53" s="323"/>
      <c r="W53" s="2" t="s">
        <v>623</v>
      </c>
      <c r="X53" s="2"/>
      <c r="Y53" s="2"/>
    </row>
    <row r="54" spans="1:25" s="82" customFormat="1" hidden="1" x14ac:dyDescent="0.3">
      <c r="A54" s="324"/>
      <c r="B54" s="846"/>
      <c r="C54" s="847"/>
      <c r="D54" s="847"/>
      <c r="E54" s="847"/>
      <c r="F54" s="847"/>
      <c r="G54" s="847"/>
      <c r="H54" s="848"/>
      <c r="I54" s="323"/>
      <c r="J54" s="324"/>
      <c r="K54" s="846"/>
      <c r="L54" s="847"/>
      <c r="M54" s="847"/>
      <c r="N54" s="847"/>
      <c r="O54" s="847"/>
      <c r="P54" s="847"/>
      <c r="Q54" s="848"/>
      <c r="R54" s="323"/>
      <c r="W54" s="2" t="s">
        <v>620</v>
      </c>
      <c r="X54" s="2"/>
      <c r="Y54" s="2"/>
    </row>
    <row r="55" spans="1:25" ht="14.25" hidden="1" customHeight="1" x14ac:dyDescent="0.3">
      <c r="A55" s="324"/>
      <c r="B55" s="846"/>
      <c r="C55" s="847"/>
      <c r="D55" s="847"/>
      <c r="E55" s="847"/>
      <c r="F55" s="847"/>
      <c r="G55" s="847"/>
      <c r="H55" s="848"/>
      <c r="I55" s="323"/>
      <c r="J55" s="324"/>
      <c r="K55" s="846"/>
      <c r="L55" s="847"/>
      <c r="M55" s="847"/>
      <c r="N55" s="847"/>
      <c r="O55" s="847"/>
      <c r="P55" s="847"/>
      <c r="Q55" s="848"/>
      <c r="R55" s="323"/>
      <c r="W55" s="26" t="str">
        <f>TEXT(Q47,"Rp #.##0")</f>
        <v>Rp 1.042.580.000</v>
      </c>
      <c r="X55" s="2"/>
      <c r="Y55" s="26" t="str">
        <f>TEXT(H47,"Rp #.##0")</f>
        <v>Rp 975.940.000</v>
      </c>
    </row>
    <row r="56" spans="1:25" hidden="1" x14ac:dyDescent="0.3">
      <c r="A56" s="324"/>
      <c r="B56" s="849"/>
      <c r="C56" s="850"/>
      <c r="D56" s="850"/>
      <c r="E56" s="850"/>
      <c r="F56" s="850"/>
      <c r="G56" s="850"/>
      <c r="H56" s="851"/>
      <c r="I56" s="323"/>
      <c r="J56" s="324"/>
      <c r="K56" s="849"/>
      <c r="L56" s="850"/>
      <c r="M56" s="850"/>
      <c r="N56" s="850"/>
      <c r="O56" s="850"/>
      <c r="P56" s="850"/>
      <c r="Q56" s="851"/>
      <c r="R56" s="323"/>
      <c r="W56" s="2" t="s">
        <v>621</v>
      </c>
      <c r="X56" s="2"/>
      <c r="Y56" s="2"/>
    </row>
    <row r="57" spans="1:25" hidden="1" x14ac:dyDescent="0.3">
      <c r="A57" s="324"/>
      <c r="B57" s="502"/>
      <c r="C57" s="502"/>
      <c r="D57" s="502"/>
      <c r="E57" s="502"/>
      <c r="F57" s="502"/>
      <c r="G57" s="502"/>
      <c r="H57" s="502"/>
      <c r="I57" s="323"/>
      <c r="J57" s="324"/>
      <c r="K57" s="317"/>
      <c r="L57" s="317"/>
      <c r="M57" s="317"/>
      <c r="N57" s="317"/>
      <c r="O57" s="317"/>
      <c r="P57" s="317"/>
      <c r="Q57" s="317"/>
      <c r="R57" s="323"/>
      <c r="W57" s="2" t="s">
        <v>622</v>
      </c>
      <c r="X57" s="2"/>
      <c r="Y57" s="2"/>
    </row>
    <row r="58" spans="1:25" hidden="1" x14ac:dyDescent="0.3">
      <c r="A58" s="330"/>
      <c r="B58" s="784" t="s">
        <v>718</v>
      </c>
      <c r="C58" s="501"/>
      <c r="D58" s="784" t="s">
        <v>4</v>
      </c>
      <c r="E58" s="501"/>
      <c r="F58" s="31" t="s">
        <v>4</v>
      </c>
      <c r="G58" s="500"/>
      <c r="H58" s="31" t="s">
        <v>4</v>
      </c>
      <c r="I58" s="323"/>
      <c r="J58" s="330"/>
      <c r="K58" s="784" t="s">
        <v>718</v>
      </c>
      <c r="L58" s="750"/>
      <c r="M58" s="784" t="s">
        <v>4</v>
      </c>
      <c r="N58" s="750"/>
      <c r="O58" s="31" t="s">
        <v>4</v>
      </c>
      <c r="P58" s="749"/>
      <c r="Q58" s="31" t="s">
        <v>4</v>
      </c>
      <c r="R58" s="323"/>
    </row>
    <row r="59" spans="1:25" ht="16.149999999999999" hidden="1" customHeight="1" x14ac:dyDescent="0.3">
      <c r="A59" s="330"/>
      <c r="B59" s="29"/>
      <c r="C59" s="501"/>
      <c r="D59" s="29"/>
      <c r="E59" s="501"/>
      <c r="F59" s="33"/>
      <c r="G59" s="500"/>
      <c r="H59" s="33"/>
      <c r="I59" s="323"/>
      <c r="J59" s="330"/>
      <c r="K59" s="29"/>
      <c r="L59" s="750"/>
      <c r="M59" s="29"/>
      <c r="N59" s="750"/>
      <c r="O59" s="33"/>
      <c r="P59" s="749"/>
      <c r="Q59" s="33"/>
      <c r="R59" s="323"/>
      <c r="W59" s="81" t="str">
        <f>TEXT(H119,"Rp #.##0")</f>
        <v>Rp 1.219.200.000</v>
      </c>
      <c r="Y59" s="81" t="str">
        <f>TEXT(Q119,"Rp #.##0")</f>
        <v>Rp 847.350.000</v>
      </c>
    </row>
    <row r="60" spans="1:25" ht="9" hidden="1" customHeight="1" x14ac:dyDescent="0.3">
      <c r="A60" s="330"/>
      <c r="B60" s="33"/>
      <c r="C60" s="501"/>
      <c r="D60" s="33"/>
      <c r="E60" s="501"/>
      <c r="F60" s="33"/>
      <c r="G60" s="500"/>
      <c r="H60" s="33"/>
      <c r="I60" s="323"/>
      <c r="J60" s="330"/>
      <c r="K60" s="33"/>
      <c r="L60" s="750"/>
      <c r="M60" s="33"/>
      <c r="N60" s="750"/>
      <c r="O60" s="33"/>
      <c r="P60" s="749"/>
      <c r="Q60" s="33"/>
      <c r="R60" s="323"/>
    </row>
    <row r="61" spans="1:25" hidden="1" x14ac:dyDescent="0.3">
      <c r="A61" s="330"/>
      <c r="B61" s="33"/>
      <c r="C61" s="501"/>
      <c r="D61" s="33"/>
      <c r="E61" s="501"/>
      <c r="F61" s="33"/>
      <c r="G61" s="500"/>
      <c r="H61" s="33"/>
      <c r="I61" s="323"/>
      <c r="J61" s="330"/>
      <c r="K61" s="33"/>
      <c r="L61" s="750"/>
      <c r="M61" s="33"/>
      <c r="N61" s="750"/>
      <c r="O61" s="33"/>
      <c r="P61" s="749"/>
      <c r="Q61" s="33"/>
      <c r="R61" s="323"/>
    </row>
    <row r="62" spans="1:25" hidden="1" x14ac:dyDescent="0.3">
      <c r="A62" s="330"/>
      <c r="B62" s="181" t="str">
        <f>'DATA AWAL NASABAH'!B30</f>
        <v>ADRIAN WAHYU P</v>
      </c>
      <c r="C62" s="501"/>
      <c r="D62" s="181" t="str">
        <f>D134</f>
        <v>NUROHMAN</v>
      </c>
      <c r="E62" s="501"/>
      <c r="F62" s="736" t="s">
        <v>570</v>
      </c>
      <c r="G62" s="500"/>
      <c r="H62" s="736" t="s">
        <v>717</v>
      </c>
      <c r="I62" s="323"/>
      <c r="J62" s="330"/>
      <c r="K62" s="181" t="str">
        <f>B62</f>
        <v>ADRIAN WAHYU P</v>
      </c>
      <c r="L62" s="750"/>
      <c r="M62" s="181" t="str">
        <f>D62</f>
        <v>NUROHMAN</v>
      </c>
      <c r="N62" s="750"/>
      <c r="O62" s="736" t="s">
        <v>570</v>
      </c>
      <c r="P62" s="749"/>
      <c r="Q62" s="736" t="s">
        <v>717</v>
      </c>
      <c r="R62" s="323"/>
    </row>
    <row r="63" spans="1:25" hidden="1" x14ac:dyDescent="0.3">
      <c r="A63" s="330"/>
      <c r="B63" s="207" t="s">
        <v>511</v>
      </c>
      <c r="C63" s="501"/>
      <c r="D63" s="207" t="s">
        <v>512</v>
      </c>
      <c r="E63" s="501"/>
      <c r="F63" s="736" t="s">
        <v>751</v>
      </c>
      <c r="G63" s="500"/>
      <c r="H63" s="736" t="s">
        <v>12</v>
      </c>
      <c r="I63" s="323"/>
      <c r="J63" s="330"/>
      <c r="K63" s="207" t="s">
        <v>511</v>
      </c>
      <c r="L63" s="750"/>
      <c r="M63" s="207" t="str">
        <f>D63</f>
        <v>Kabag. Analis</v>
      </c>
      <c r="N63" s="750"/>
      <c r="O63" s="736" t="str">
        <f>F63</f>
        <v>Kadiv Kredit</v>
      </c>
      <c r="P63" s="749"/>
      <c r="Q63" s="736" t="s">
        <v>12</v>
      </c>
      <c r="R63" s="323"/>
    </row>
    <row r="64" spans="1:25" hidden="1" x14ac:dyDescent="0.3">
      <c r="A64" s="336"/>
      <c r="B64" s="501"/>
      <c r="C64" s="501"/>
      <c r="D64" s="501"/>
      <c r="E64" s="501"/>
      <c r="F64" s="501"/>
      <c r="G64" s="501"/>
      <c r="H64" s="501"/>
      <c r="I64" s="323"/>
      <c r="J64" s="336"/>
      <c r="K64" s="30"/>
      <c r="L64" s="30"/>
      <c r="M64" s="30"/>
      <c r="N64" s="30"/>
      <c r="O64" s="30"/>
      <c r="P64" s="30"/>
      <c r="Q64" s="30"/>
      <c r="R64" s="323"/>
    </row>
    <row r="65" spans="1:30" hidden="1" x14ac:dyDescent="0.3">
      <c r="A65" s="336"/>
      <c r="B65" s="31" t="s">
        <v>4</v>
      </c>
      <c r="C65" s="733"/>
      <c r="D65" s="181" t="s">
        <v>554</v>
      </c>
      <c r="E65" s="329"/>
      <c r="F65" s="329"/>
      <c r="G65" s="733"/>
      <c r="H65" s="818"/>
      <c r="I65" s="323"/>
      <c r="J65" s="336"/>
      <c r="K65" s="733"/>
      <c r="L65" s="733"/>
      <c r="M65" s="838"/>
      <c r="N65" s="839"/>
      <c r="O65" s="839"/>
      <c r="P65" s="733"/>
      <c r="Q65" s="181" t="s">
        <v>554</v>
      </c>
      <c r="R65" s="323"/>
    </row>
    <row r="66" spans="1:30" hidden="1" x14ac:dyDescent="0.3">
      <c r="A66" s="336"/>
      <c r="B66" s="33"/>
      <c r="C66" s="733"/>
      <c r="D66" s="33"/>
      <c r="E66" s="66"/>
      <c r="F66" s="66"/>
      <c r="G66" s="733"/>
      <c r="H66" s="819"/>
      <c r="I66" s="323"/>
      <c r="J66" s="336"/>
      <c r="K66" s="733"/>
      <c r="L66" s="733"/>
      <c r="M66" s="66"/>
      <c r="N66" s="66"/>
      <c r="O66" s="66"/>
      <c r="P66" s="733"/>
      <c r="Q66" s="33"/>
      <c r="R66" s="323"/>
    </row>
    <row r="67" spans="1:30" hidden="1" x14ac:dyDescent="0.3">
      <c r="A67" s="336"/>
      <c r="B67" s="33"/>
      <c r="C67" s="733"/>
      <c r="D67" s="33"/>
      <c r="E67" s="66"/>
      <c r="F67" s="66"/>
      <c r="G67" s="733"/>
      <c r="H67" s="819"/>
      <c r="I67" s="323"/>
      <c r="J67" s="336"/>
      <c r="K67" s="733"/>
      <c r="L67" s="733"/>
      <c r="M67" s="66"/>
      <c r="N67" s="66"/>
      <c r="O67" s="66"/>
      <c r="P67" s="733"/>
      <c r="Q67" s="33"/>
      <c r="R67" s="323"/>
    </row>
    <row r="68" spans="1:30" hidden="1" x14ac:dyDescent="0.3">
      <c r="A68" s="336"/>
      <c r="B68" s="33"/>
      <c r="C68" s="733"/>
      <c r="D68" s="33"/>
      <c r="E68" s="66"/>
      <c r="F68" s="66"/>
      <c r="G68" s="733"/>
      <c r="H68" s="819"/>
      <c r="I68" s="323"/>
      <c r="J68" s="336"/>
      <c r="K68" s="733"/>
      <c r="L68" s="733"/>
      <c r="M68" s="66"/>
      <c r="N68" s="66"/>
      <c r="O68" s="66"/>
      <c r="P68" s="733"/>
      <c r="Q68" s="33"/>
      <c r="R68" s="323"/>
    </row>
    <row r="69" spans="1:30" hidden="1" x14ac:dyDescent="0.3">
      <c r="A69" s="336"/>
      <c r="B69" s="820" t="s">
        <v>717</v>
      </c>
      <c r="C69" s="733"/>
      <c r="D69" s="739" t="s">
        <v>671</v>
      </c>
      <c r="E69" s="66"/>
      <c r="F69" s="66"/>
      <c r="G69" s="733"/>
      <c r="H69" s="803"/>
      <c r="I69" s="323"/>
      <c r="J69" s="336"/>
      <c r="K69" s="733"/>
      <c r="L69" s="733"/>
      <c r="M69" s="66"/>
      <c r="N69" s="66"/>
      <c r="O69" s="66"/>
      <c r="P69" s="733"/>
      <c r="Q69" s="739" t="s">
        <v>671</v>
      </c>
      <c r="R69" s="323"/>
    </row>
    <row r="70" spans="1:30" ht="16.5" hidden="1" customHeight="1" x14ac:dyDescent="0.3">
      <c r="A70" s="336"/>
      <c r="B70" s="820" t="s">
        <v>12</v>
      </c>
      <c r="C70" s="733"/>
      <c r="D70" s="820" t="s">
        <v>701</v>
      </c>
      <c r="E70" s="801"/>
      <c r="F70" s="801"/>
      <c r="G70" s="733"/>
      <c r="H70" s="804"/>
      <c r="I70" s="323"/>
      <c r="J70" s="336"/>
      <c r="K70" s="733"/>
      <c r="L70" s="733"/>
      <c r="M70" s="841"/>
      <c r="N70" s="841"/>
      <c r="O70" s="841"/>
      <c r="P70" s="733"/>
      <c r="Q70" s="736" t="s">
        <v>701</v>
      </c>
      <c r="R70" s="323"/>
    </row>
    <row r="71" spans="1:30" ht="15" hidden="1" thickBot="1" x14ac:dyDescent="0.35">
      <c r="A71" s="337"/>
      <c r="B71" s="338"/>
      <c r="C71" s="339" t="s">
        <v>14</v>
      </c>
      <c r="D71" s="339"/>
      <c r="E71" s="340"/>
      <c r="F71" s="340"/>
      <c r="G71" s="340"/>
      <c r="H71" s="340"/>
      <c r="I71" s="341"/>
      <c r="J71" s="337"/>
      <c r="K71" s="338"/>
      <c r="L71" s="339" t="s">
        <v>14</v>
      </c>
      <c r="M71" s="339"/>
      <c r="N71" s="340"/>
      <c r="O71" s="340"/>
      <c r="P71" s="340"/>
      <c r="Q71" s="340"/>
      <c r="R71" s="341"/>
    </row>
    <row r="72" spans="1:30" ht="18.75" x14ac:dyDescent="0.3">
      <c r="A72" s="320"/>
      <c r="B72" s="842" t="s">
        <v>612</v>
      </c>
      <c r="C72" s="842"/>
      <c r="D72" s="842"/>
      <c r="E72" s="842"/>
      <c r="F72" s="842"/>
      <c r="G72" s="842"/>
      <c r="H72" s="842"/>
      <c r="I72" s="321"/>
      <c r="J72" s="320"/>
      <c r="K72" s="842" t="s">
        <v>612</v>
      </c>
      <c r="L72" s="842"/>
      <c r="M72" s="842"/>
      <c r="N72" s="842"/>
      <c r="O72" s="842"/>
      <c r="P72" s="842"/>
      <c r="Q72" s="842"/>
      <c r="R72" s="321"/>
    </row>
    <row r="73" spans="1:30" ht="18.75" x14ac:dyDescent="0.3">
      <c r="A73" s="322"/>
      <c r="B73" s="831" t="s">
        <v>1</v>
      </c>
      <c r="C73" s="831"/>
      <c r="D73" s="831"/>
      <c r="E73" s="831"/>
      <c r="F73" s="831"/>
      <c r="G73" s="831"/>
      <c r="H73" s="831"/>
      <c r="I73" s="323"/>
      <c r="J73" s="322"/>
      <c r="K73" s="831" t="s">
        <v>1</v>
      </c>
      <c r="L73" s="831"/>
      <c r="M73" s="831"/>
      <c r="N73" s="831"/>
      <c r="O73" s="831"/>
      <c r="P73" s="831"/>
      <c r="Q73" s="831"/>
      <c r="R73" s="323"/>
    </row>
    <row r="74" spans="1:30" x14ac:dyDescent="0.3">
      <c r="A74" s="322"/>
      <c r="B74" s="44"/>
      <c r="C74" s="44"/>
      <c r="D74" s="44"/>
      <c r="E74" s="44"/>
      <c r="F74" s="44"/>
      <c r="G74" s="44"/>
      <c r="H74" s="44"/>
      <c r="I74" s="323"/>
      <c r="J74" s="322"/>
      <c r="K74" s="44"/>
      <c r="L74" s="44"/>
      <c r="M74" s="44"/>
      <c r="N74" s="44"/>
      <c r="O74" s="44"/>
      <c r="P74" s="44"/>
      <c r="Q74" s="44"/>
      <c r="R74" s="323"/>
    </row>
    <row r="75" spans="1:30" x14ac:dyDescent="0.3">
      <c r="A75" s="322"/>
      <c r="B75" s="44" t="s">
        <v>16</v>
      </c>
      <c r="C75" s="44" t="s">
        <v>63</v>
      </c>
      <c r="D75" s="4" t="str">
        <f>D4</f>
        <v>DYAH RETNO SULISTYOWATI</v>
      </c>
      <c r="E75" s="4"/>
      <c r="F75" s="5"/>
      <c r="G75" s="11"/>
      <c r="H75" s="11"/>
      <c r="I75" s="323"/>
      <c r="J75" s="322"/>
      <c r="K75" s="44" t="s">
        <v>16</v>
      </c>
      <c r="L75" s="44" t="s">
        <v>63</v>
      </c>
      <c r="M75" s="4" t="str">
        <f>D75</f>
        <v>DYAH RETNO SULISTYOWATI</v>
      </c>
      <c r="N75" s="4"/>
      <c r="O75" s="5"/>
      <c r="P75" s="11"/>
      <c r="Q75" s="11"/>
      <c r="R75" s="323"/>
    </row>
    <row r="76" spans="1:30" x14ac:dyDescent="0.3">
      <c r="A76" s="322"/>
      <c r="B76" s="44" t="s">
        <v>17</v>
      </c>
      <c r="C76" s="44" t="s">
        <v>63</v>
      </c>
      <c r="D76" s="740" t="str">
        <f>D5</f>
        <v>0811261088</v>
      </c>
      <c r="E76" s="6"/>
      <c r="F76" s="7"/>
      <c r="G76" s="11"/>
      <c r="H76" s="11"/>
      <c r="I76" s="323"/>
      <c r="J76" s="322"/>
      <c r="K76" s="44" t="s">
        <v>17</v>
      </c>
      <c r="L76" s="44" t="s">
        <v>63</v>
      </c>
      <c r="M76" s="6" t="str">
        <f>D76</f>
        <v>0811261088</v>
      </c>
      <c r="N76" s="6"/>
      <c r="O76" s="7"/>
      <c r="P76" s="11"/>
      <c r="Q76" s="11"/>
      <c r="R76" s="323"/>
    </row>
    <row r="77" spans="1:30" x14ac:dyDescent="0.3">
      <c r="A77" s="322"/>
      <c r="B77" s="319" t="s">
        <v>18</v>
      </c>
      <c r="C77" s="44" t="s">
        <v>63</v>
      </c>
      <c r="D77" s="9">
        <f>D6</f>
        <v>45986</v>
      </c>
      <c r="E77" s="10"/>
      <c r="F77" s="7"/>
      <c r="G77" s="11"/>
      <c r="H77" s="44"/>
      <c r="I77" s="323"/>
      <c r="J77" s="322"/>
      <c r="K77" s="319" t="s">
        <v>18</v>
      </c>
      <c r="L77" s="44" t="s">
        <v>63</v>
      </c>
      <c r="M77" s="9">
        <f>D77</f>
        <v>45986</v>
      </c>
      <c r="N77" s="10"/>
      <c r="O77" s="7"/>
      <c r="P77" s="11"/>
      <c r="Q77" s="44"/>
      <c r="R77" s="323"/>
    </row>
    <row r="78" spans="1:30" x14ac:dyDescent="0.3">
      <c r="A78" s="322"/>
      <c r="B78" s="44" t="s">
        <v>19</v>
      </c>
      <c r="C78" s="44" t="s">
        <v>63</v>
      </c>
      <c r="D78" s="161" t="str">
        <f>""&amp;D81&amp;" "&amp;D82</f>
        <v>KALIBEBER MOJOTENGAH</v>
      </c>
      <c r="E78" s="45"/>
      <c r="F78" s="45"/>
      <c r="G78" s="11"/>
      <c r="H78" s="44"/>
      <c r="I78" s="323"/>
      <c r="J78" s="322"/>
      <c r="K78" s="44" t="s">
        <v>19</v>
      </c>
      <c r="L78" s="44" t="s">
        <v>63</v>
      </c>
      <c r="M78" s="161" t="str">
        <f>""&amp;M81&amp;" "&amp;M82</f>
        <v>MUDAL MOJOTENGAH</v>
      </c>
      <c r="N78" s="45"/>
      <c r="O78" s="45"/>
      <c r="P78" s="11"/>
      <c r="Q78" s="44"/>
      <c r="R78" s="323"/>
    </row>
    <row r="79" spans="1:30" x14ac:dyDescent="0.3">
      <c r="A79" s="322"/>
      <c r="B79" s="44"/>
      <c r="C79" s="44"/>
      <c r="D79" s="44"/>
      <c r="E79" s="44"/>
      <c r="F79" s="44"/>
      <c r="G79" s="11"/>
      <c r="H79" s="44"/>
      <c r="I79" s="323"/>
      <c r="J79" s="322"/>
      <c r="K79" s="44"/>
      <c r="L79" s="44"/>
      <c r="M79" s="44"/>
      <c r="N79" s="44"/>
      <c r="O79" s="44"/>
      <c r="P79" s="11"/>
      <c r="Q79" s="44"/>
      <c r="R79" s="323"/>
    </row>
    <row r="80" spans="1:30" x14ac:dyDescent="0.3">
      <c r="A80" s="324"/>
      <c r="B80" s="66" t="s">
        <v>57</v>
      </c>
      <c r="C80" s="66"/>
      <c r="D80" s="66"/>
      <c r="E80" s="66"/>
      <c r="F80" s="66" t="s">
        <v>15</v>
      </c>
      <c r="G80" s="66"/>
      <c r="H80" s="66"/>
      <c r="I80" s="323"/>
      <c r="J80" s="324"/>
      <c r="K80" s="66" t="s">
        <v>57</v>
      </c>
      <c r="L80" s="66"/>
      <c r="M80" s="66"/>
      <c r="N80" s="66"/>
      <c r="O80" s="66" t="s">
        <v>15</v>
      </c>
      <c r="P80" s="66"/>
      <c r="Q80" s="66"/>
      <c r="R80" s="323"/>
      <c r="X80" s="843" t="s">
        <v>769</v>
      </c>
      <c r="Y80" s="844"/>
      <c r="Z80" s="844"/>
      <c r="AA80" s="844"/>
      <c r="AB80" s="844"/>
      <c r="AC80" s="844"/>
      <c r="AD80" s="845"/>
    </row>
    <row r="81" spans="1:30" x14ac:dyDescent="0.3">
      <c r="A81" s="322"/>
      <c r="B81" s="44" t="s">
        <v>20</v>
      </c>
      <c r="C81" s="44" t="s">
        <v>63</v>
      </c>
      <c r="D81" s="162" t="s">
        <v>683</v>
      </c>
      <c r="E81" s="44"/>
      <c r="F81" s="44" t="s">
        <v>24</v>
      </c>
      <c r="G81" s="44" t="s">
        <v>63</v>
      </c>
      <c r="H81" s="162" t="s">
        <v>519</v>
      </c>
      <c r="I81" s="323"/>
      <c r="J81" s="322"/>
      <c r="K81" s="44" t="s">
        <v>20</v>
      </c>
      <c r="L81" s="44" t="s">
        <v>63</v>
      </c>
      <c r="M81" s="162" t="s">
        <v>691</v>
      </c>
      <c r="N81" s="44"/>
      <c r="O81" s="44" t="s">
        <v>24</v>
      </c>
      <c r="P81" s="44" t="s">
        <v>63</v>
      </c>
      <c r="Q81" s="162" t="s">
        <v>692</v>
      </c>
      <c r="R81" s="323"/>
      <c r="X81" s="846"/>
      <c r="Y81" s="847"/>
      <c r="Z81" s="847"/>
      <c r="AA81" s="847"/>
      <c r="AB81" s="847"/>
      <c r="AC81" s="847"/>
      <c r="AD81" s="848"/>
    </row>
    <row r="82" spans="1:30" x14ac:dyDescent="0.3">
      <c r="A82" s="322"/>
      <c r="B82" s="325" t="s">
        <v>22</v>
      </c>
      <c r="C82" s="44" t="s">
        <v>63</v>
      </c>
      <c r="D82" s="162" t="s">
        <v>684</v>
      </c>
      <c r="E82" s="44"/>
      <c r="F82" s="44" t="s">
        <v>25</v>
      </c>
      <c r="G82" s="44" t="s">
        <v>63</v>
      </c>
      <c r="H82" s="162" t="s">
        <v>685</v>
      </c>
      <c r="I82" s="323"/>
      <c r="J82" s="322"/>
      <c r="K82" s="325" t="s">
        <v>22</v>
      </c>
      <c r="L82" s="44" t="s">
        <v>63</v>
      </c>
      <c r="M82" s="162" t="s">
        <v>684</v>
      </c>
      <c r="N82" s="44"/>
      <c r="O82" s="44" t="s">
        <v>25</v>
      </c>
      <c r="P82" s="44" t="s">
        <v>63</v>
      </c>
      <c r="Q82" s="686" t="s">
        <v>693</v>
      </c>
      <c r="R82" s="323"/>
      <c r="X82" s="846"/>
      <c r="Y82" s="847"/>
      <c r="Z82" s="847"/>
      <c r="AA82" s="847"/>
      <c r="AB82" s="847"/>
      <c r="AC82" s="847"/>
      <c r="AD82" s="848"/>
    </row>
    <row r="83" spans="1:30" x14ac:dyDescent="0.3">
      <c r="A83" s="322"/>
      <c r="B83" s="325" t="s">
        <v>21</v>
      </c>
      <c r="C83" s="11" t="s">
        <v>63</v>
      </c>
      <c r="D83" s="162" t="s">
        <v>484</v>
      </c>
      <c r="E83" s="44"/>
      <c r="F83" s="44" t="s">
        <v>26</v>
      </c>
      <c r="G83" s="11" t="s">
        <v>63</v>
      </c>
      <c r="H83" s="686" t="s">
        <v>686</v>
      </c>
      <c r="I83" s="323"/>
      <c r="J83" s="322"/>
      <c r="K83" s="325" t="s">
        <v>21</v>
      </c>
      <c r="L83" s="11" t="s">
        <v>63</v>
      </c>
      <c r="M83" s="162" t="s">
        <v>484</v>
      </c>
      <c r="N83" s="44"/>
      <c r="O83" s="44" t="s">
        <v>26</v>
      </c>
      <c r="P83" s="11" t="s">
        <v>63</v>
      </c>
      <c r="Q83" s="686" t="s">
        <v>694</v>
      </c>
      <c r="R83" s="323"/>
      <c r="X83" s="846"/>
      <c r="Y83" s="847"/>
      <c r="Z83" s="847"/>
      <c r="AA83" s="847"/>
      <c r="AB83" s="847"/>
      <c r="AC83" s="847"/>
      <c r="AD83" s="848"/>
    </row>
    <row r="84" spans="1:30" x14ac:dyDescent="0.3">
      <c r="A84" s="322"/>
      <c r="B84" s="44" t="s">
        <v>23</v>
      </c>
      <c r="C84" s="44" t="s">
        <v>63</v>
      </c>
      <c r="D84" s="162" t="s">
        <v>518</v>
      </c>
      <c r="E84" s="44"/>
      <c r="F84" s="44" t="s">
        <v>27</v>
      </c>
      <c r="G84" s="44" t="s">
        <v>63</v>
      </c>
      <c r="H84" s="686" t="s">
        <v>687</v>
      </c>
      <c r="I84" s="323"/>
      <c r="J84" s="322"/>
      <c r="K84" s="44" t="s">
        <v>23</v>
      </c>
      <c r="L84" s="44" t="s">
        <v>63</v>
      </c>
      <c r="M84" s="162" t="s">
        <v>518</v>
      </c>
      <c r="N84" s="44"/>
      <c r="O84" s="44" t="s">
        <v>27</v>
      </c>
      <c r="P84" s="44" t="s">
        <v>63</v>
      </c>
      <c r="Q84" s="686" t="s">
        <v>695</v>
      </c>
      <c r="R84" s="323"/>
      <c r="X84" s="849"/>
      <c r="Y84" s="850"/>
      <c r="Z84" s="850"/>
      <c r="AA84" s="850"/>
      <c r="AB84" s="850"/>
      <c r="AC84" s="850"/>
      <c r="AD84" s="851"/>
    </row>
    <row r="85" spans="1:30" x14ac:dyDescent="0.3">
      <c r="A85" s="322"/>
      <c r="B85" s="44"/>
      <c r="C85" s="44"/>
      <c r="D85" s="44"/>
      <c r="E85" s="44"/>
      <c r="F85" s="44"/>
      <c r="G85" s="44"/>
      <c r="H85" s="44"/>
      <c r="I85" s="323"/>
      <c r="J85" s="322"/>
      <c r="K85" s="44"/>
      <c r="L85" s="44"/>
      <c r="M85" s="44"/>
      <c r="N85" s="44"/>
      <c r="O85" s="44"/>
      <c r="P85" s="44"/>
      <c r="Q85" s="44"/>
      <c r="R85" s="323"/>
    </row>
    <row r="86" spans="1:30" x14ac:dyDescent="0.3">
      <c r="A86" s="326"/>
      <c r="B86" s="71" t="s">
        <v>58</v>
      </c>
      <c r="C86" s="71"/>
      <c r="D86" s="71"/>
      <c r="E86" s="71"/>
      <c r="F86" s="71"/>
      <c r="G86" s="71"/>
      <c r="H86" s="71"/>
      <c r="I86" s="327"/>
      <c r="J86" s="326"/>
      <c r="K86" s="71" t="s">
        <v>58</v>
      </c>
      <c r="L86" s="71"/>
      <c r="M86" s="71"/>
      <c r="N86" s="71"/>
      <c r="O86" s="71"/>
      <c r="P86" s="71"/>
      <c r="Q86" s="71"/>
      <c r="R86" s="327"/>
    </row>
    <row r="87" spans="1:30" x14ac:dyDescent="0.3">
      <c r="A87" s="322"/>
      <c r="B87" s="44" t="s">
        <v>221</v>
      </c>
      <c r="C87" s="44" t="s">
        <v>63</v>
      </c>
      <c r="D87" s="162" t="s">
        <v>688</v>
      </c>
      <c r="E87" s="44"/>
      <c r="F87" s="44" t="s">
        <v>29</v>
      </c>
      <c r="G87" s="44" t="s">
        <v>63</v>
      </c>
      <c r="H87" s="162" t="s">
        <v>251</v>
      </c>
      <c r="I87" s="323"/>
      <c r="J87" s="322"/>
      <c r="K87" s="44" t="s">
        <v>221</v>
      </c>
      <c r="L87" s="44" t="s">
        <v>63</v>
      </c>
      <c r="M87" s="162" t="s">
        <v>696</v>
      </c>
      <c r="N87" s="44"/>
      <c r="O87" s="44" t="s">
        <v>29</v>
      </c>
      <c r="P87" s="44" t="s">
        <v>63</v>
      </c>
      <c r="Q87" s="162" t="s">
        <v>251</v>
      </c>
      <c r="R87" s="323"/>
    </row>
    <row r="88" spans="1:30" ht="18" customHeight="1" x14ac:dyDescent="0.3">
      <c r="A88" s="322"/>
      <c r="B88" s="44" t="s">
        <v>222</v>
      </c>
      <c r="C88" s="44" t="s">
        <v>63</v>
      </c>
      <c r="D88" s="806" t="str">
        <f>D75</f>
        <v>DYAH RETNO SULISTYOWATI</v>
      </c>
      <c r="E88" s="44"/>
      <c r="F88" s="44" t="s">
        <v>30</v>
      </c>
      <c r="G88" s="44" t="s">
        <v>63</v>
      </c>
      <c r="H88" s="162" t="s">
        <v>251</v>
      </c>
      <c r="I88" s="323"/>
      <c r="J88" s="322"/>
      <c r="K88" s="44" t="s">
        <v>222</v>
      </c>
      <c r="L88" s="44" t="s">
        <v>63</v>
      </c>
      <c r="M88" s="806" t="str">
        <f>M75</f>
        <v>DYAH RETNO SULISTYOWATI</v>
      </c>
      <c r="N88" s="44"/>
      <c r="O88" s="44" t="s">
        <v>30</v>
      </c>
      <c r="P88" s="44" t="s">
        <v>63</v>
      </c>
      <c r="Q88" s="162" t="s">
        <v>251</v>
      </c>
      <c r="R88" s="323"/>
    </row>
    <row r="89" spans="1:30" ht="13.5" customHeight="1" x14ac:dyDescent="0.3">
      <c r="A89" s="322"/>
      <c r="B89" s="44"/>
      <c r="C89" s="44"/>
      <c r="D89" s="805"/>
      <c r="E89" s="44"/>
      <c r="F89" s="44"/>
      <c r="G89" s="44"/>
      <c r="H89" s="162"/>
      <c r="I89" s="323"/>
      <c r="J89" s="322"/>
      <c r="K89" s="44"/>
      <c r="L89" s="44"/>
      <c r="M89" s="805"/>
      <c r="N89" s="44"/>
      <c r="O89" s="44"/>
      <c r="P89" s="44"/>
      <c r="Q89" s="162"/>
      <c r="R89" s="323"/>
    </row>
    <row r="90" spans="1:30" x14ac:dyDescent="0.3">
      <c r="A90" s="322"/>
      <c r="B90" s="44" t="s">
        <v>67</v>
      </c>
      <c r="C90" s="44" t="s">
        <v>63</v>
      </c>
      <c r="D90" s="214" t="s">
        <v>689</v>
      </c>
      <c r="E90" s="44"/>
      <c r="F90" s="44" t="s">
        <v>31</v>
      </c>
      <c r="G90" s="44" t="s">
        <v>63</v>
      </c>
      <c r="H90" s="162" t="s">
        <v>520</v>
      </c>
      <c r="I90" s="323"/>
      <c r="J90" s="322"/>
      <c r="K90" s="44" t="s">
        <v>67</v>
      </c>
      <c r="L90" s="44" t="s">
        <v>63</v>
      </c>
      <c r="M90" s="214" t="s">
        <v>697</v>
      </c>
      <c r="N90" s="44"/>
      <c r="O90" s="44" t="s">
        <v>31</v>
      </c>
      <c r="P90" s="44" t="s">
        <v>63</v>
      </c>
      <c r="Q90" s="162" t="s">
        <v>520</v>
      </c>
      <c r="R90" s="323"/>
    </row>
    <row r="91" spans="1:30" x14ac:dyDescent="0.3">
      <c r="A91" s="322"/>
      <c r="B91" s="44" t="s">
        <v>28</v>
      </c>
      <c r="C91" s="44" t="s">
        <v>63</v>
      </c>
      <c r="D91" s="426" t="s">
        <v>251</v>
      </c>
      <c r="E91" s="44"/>
      <c r="F91" s="44" t="s">
        <v>32</v>
      </c>
      <c r="G91" s="44" t="s">
        <v>63</v>
      </c>
      <c r="H91" s="162" t="s">
        <v>517</v>
      </c>
      <c r="I91" s="323"/>
      <c r="J91" s="322"/>
      <c r="K91" s="44" t="s">
        <v>28</v>
      </c>
      <c r="L91" s="44" t="s">
        <v>63</v>
      </c>
      <c r="M91" s="426" t="s">
        <v>251</v>
      </c>
      <c r="N91" s="44"/>
      <c r="O91" s="44" t="s">
        <v>32</v>
      </c>
      <c r="P91" s="44" t="s">
        <v>63</v>
      </c>
      <c r="Q91" s="162" t="s">
        <v>517</v>
      </c>
      <c r="R91" s="323"/>
    </row>
    <row r="92" spans="1:30" x14ac:dyDescent="0.3">
      <c r="A92" s="322"/>
      <c r="B92" s="44"/>
      <c r="C92" s="44"/>
      <c r="D92" s="44"/>
      <c r="E92" s="44"/>
      <c r="F92" s="44"/>
      <c r="G92" s="44"/>
      <c r="H92" s="44"/>
      <c r="I92" s="323"/>
      <c r="J92" s="322"/>
      <c r="K92" s="44"/>
      <c r="L92" s="44"/>
      <c r="M92" s="44"/>
      <c r="N92" s="44"/>
      <c r="O92" s="44"/>
      <c r="P92" s="44"/>
      <c r="Q92" s="44"/>
      <c r="R92" s="323"/>
    </row>
    <row r="93" spans="1:30" x14ac:dyDescent="0.3">
      <c r="A93" s="326"/>
      <c r="B93" s="71" t="s">
        <v>59</v>
      </c>
      <c r="C93" s="71"/>
      <c r="D93" s="71"/>
      <c r="E93" s="71"/>
      <c r="F93" s="71"/>
      <c r="G93" s="71"/>
      <c r="H93" s="71"/>
      <c r="I93" s="327"/>
      <c r="J93" s="326"/>
      <c r="K93" s="71" t="s">
        <v>59</v>
      </c>
      <c r="L93" s="71"/>
      <c r="M93" s="71"/>
      <c r="N93" s="71"/>
      <c r="O93" s="71"/>
      <c r="P93" s="71"/>
      <c r="Q93" s="71"/>
      <c r="R93" s="327"/>
    </row>
    <row r="94" spans="1:30" x14ac:dyDescent="0.3">
      <c r="A94" s="322"/>
      <c r="B94" s="44" t="s">
        <v>33</v>
      </c>
      <c r="C94" s="44" t="s">
        <v>63</v>
      </c>
      <c r="D94" s="162" t="s">
        <v>640</v>
      </c>
      <c r="E94" s="44"/>
      <c r="F94" s="44" t="s">
        <v>220</v>
      </c>
      <c r="G94" s="11" t="s">
        <v>63</v>
      </c>
      <c r="H94" s="162" t="s">
        <v>585</v>
      </c>
      <c r="I94" s="323"/>
      <c r="J94" s="322"/>
      <c r="K94" s="44" t="s">
        <v>33</v>
      </c>
      <c r="L94" s="44" t="s">
        <v>63</v>
      </c>
      <c r="M94" s="162" t="s">
        <v>640</v>
      </c>
      <c r="N94" s="44"/>
      <c r="O94" s="44" t="s">
        <v>220</v>
      </c>
      <c r="P94" s="11" t="s">
        <v>63</v>
      </c>
      <c r="Q94" s="162" t="s">
        <v>585</v>
      </c>
      <c r="R94" s="323"/>
    </row>
    <row r="95" spans="1:30" x14ac:dyDescent="0.3">
      <c r="A95" s="322"/>
      <c r="B95" s="44" t="s">
        <v>34</v>
      </c>
      <c r="C95" s="44" t="s">
        <v>63</v>
      </c>
      <c r="D95" s="162" t="s">
        <v>647</v>
      </c>
      <c r="E95" s="44"/>
      <c r="F95" s="44" t="s">
        <v>68</v>
      </c>
      <c r="G95" s="11" t="s">
        <v>63</v>
      </c>
      <c r="H95" s="162" t="s">
        <v>646</v>
      </c>
      <c r="I95" s="323"/>
      <c r="J95" s="322"/>
      <c r="K95" s="44" t="s">
        <v>34</v>
      </c>
      <c r="L95" s="44" t="s">
        <v>63</v>
      </c>
      <c r="M95" s="162" t="s">
        <v>647</v>
      </c>
      <c r="N95" s="44"/>
      <c r="O95" s="44" t="s">
        <v>68</v>
      </c>
      <c r="P95" s="11" t="s">
        <v>63</v>
      </c>
      <c r="Q95" s="162" t="s">
        <v>646</v>
      </c>
      <c r="R95" s="323"/>
    </row>
    <row r="96" spans="1:30" x14ac:dyDescent="0.3">
      <c r="A96" s="322"/>
      <c r="B96" s="44"/>
      <c r="C96" s="44"/>
      <c r="D96" s="44"/>
      <c r="E96" s="44"/>
      <c r="F96" s="44"/>
      <c r="G96" s="11"/>
      <c r="H96" s="11"/>
      <c r="I96" s="323"/>
      <c r="J96" s="322"/>
      <c r="K96" s="44"/>
      <c r="L96" s="44"/>
      <c r="M96" s="44"/>
      <c r="N96" s="44"/>
      <c r="O96" s="44"/>
      <c r="P96" s="11"/>
      <c r="Q96" s="11"/>
      <c r="R96" s="323"/>
    </row>
    <row r="97" spans="1:20" x14ac:dyDescent="0.3">
      <c r="A97" s="326"/>
      <c r="B97" s="71" t="s">
        <v>60</v>
      </c>
      <c r="C97" s="71"/>
      <c r="D97" s="71"/>
      <c r="E97" s="71"/>
      <c r="F97" s="17" t="s">
        <v>65</v>
      </c>
      <c r="G97" s="71"/>
      <c r="H97" s="71"/>
      <c r="I97" s="327"/>
      <c r="J97" s="326"/>
      <c r="K97" s="71" t="s">
        <v>60</v>
      </c>
      <c r="L97" s="71"/>
      <c r="M97" s="71"/>
      <c r="N97" s="71"/>
      <c r="O97" s="17" t="s">
        <v>65</v>
      </c>
      <c r="P97" s="71"/>
      <c r="Q97" s="71"/>
      <c r="R97" s="327"/>
    </row>
    <row r="98" spans="1:20" x14ac:dyDescent="0.3">
      <c r="A98" s="322"/>
      <c r="B98" s="44" t="s">
        <v>69</v>
      </c>
      <c r="C98" s="44" t="s">
        <v>63</v>
      </c>
      <c r="D98" s="684">
        <v>2016</v>
      </c>
      <c r="E98" s="44"/>
      <c r="F98" s="319" t="s">
        <v>37</v>
      </c>
      <c r="G98" s="44" t="s">
        <v>63</v>
      </c>
      <c r="H98" s="162" t="s">
        <v>641</v>
      </c>
      <c r="I98" s="323"/>
      <c r="J98" s="322"/>
      <c r="K98" s="44" t="s">
        <v>69</v>
      </c>
      <c r="L98" s="44" t="s">
        <v>63</v>
      </c>
      <c r="M98" s="684">
        <v>2017</v>
      </c>
      <c r="N98" s="44"/>
      <c r="O98" s="319" t="s">
        <v>37</v>
      </c>
      <c r="P98" s="44" t="s">
        <v>63</v>
      </c>
      <c r="Q98" s="162" t="s">
        <v>641</v>
      </c>
      <c r="R98" s="323"/>
    </row>
    <row r="99" spans="1:20" x14ac:dyDescent="0.3">
      <c r="A99" s="322"/>
      <c r="B99" s="44" t="s">
        <v>219</v>
      </c>
      <c r="C99" s="44" t="s">
        <v>63</v>
      </c>
      <c r="D99" s="162" t="s">
        <v>690</v>
      </c>
      <c r="E99" s="44"/>
      <c r="F99" s="319" t="s">
        <v>38</v>
      </c>
      <c r="G99" s="44" t="s">
        <v>63</v>
      </c>
      <c r="H99" s="162" t="s">
        <v>643</v>
      </c>
      <c r="I99" s="323"/>
      <c r="J99" s="322"/>
      <c r="K99" s="44" t="s">
        <v>219</v>
      </c>
      <c r="L99" s="44" t="s">
        <v>63</v>
      </c>
      <c r="M99" s="162" t="s">
        <v>690</v>
      </c>
      <c r="N99" s="44"/>
      <c r="O99" s="319" t="s">
        <v>38</v>
      </c>
      <c r="P99" s="44" t="s">
        <v>63</v>
      </c>
      <c r="Q99" s="162" t="s">
        <v>643</v>
      </c>
      <c r="R99" s="323"/>
    </row>
    <row r="100" spans="1:20" x14ac:dyDescent="0.3">
      <c r="A100" s="322"/>
      <c r="B100" s="44" t="s">
        <v>35</v>
      </c>
      <c r="C100" s="44" t="s">
        <v>63</v>
      </c>
      <c r="D100" s="162" t="s">
        <v>408</v>
      </c>
      <c r="E100" s="44"/>
      <c r="F100" s="319" t="s">
        <v>39</v>
      </c>
      <c r="G100" s="44" t="s">
        <v>63</v>
      </c>
      <c r="H100" s="162" t="s">
        <v>644</v>
      </c>
      <c r="I100" s="323"/>
      <c r="J100" s="322"/>
      <c r="K100" s="44" t="s">
        <v>35</v>
      </c>
      <c r="L100" s="44" t="s">
        <v>63</v>
      </c>
      <c r="M100" s="162" t="s">
        <v>408</v>
      </c>
      <c r="N100" s="44"/>
      <c r="O100" s="319" t="s">
        <v>39</v>
      </c>
      <c r="P100" s="44" t="s">
        <v>63</v>
      </c>
      <c r="Q100" s="162" t="s">
        <v>644</v>
      </c>
      <c r="R100" s="323"/>
    </row>
    <row r="101" spans="1:20" x14ac:dyDescent="0.3">
      <c r="A101" s="322"/>
      <c r="B101" s="44" t="s">
        <v>36</v>
      </c>
      <c r="C101" s="44" t="s">
        <v>63</v>
      </c>
      <c r="D101" s="162" t="s">
        <v>408</v>
      </c>
      <c r="E101" s="44"/>
      <c r="F101" s="319" t="s">
        <v>40</v>
      </c>
      <c r="G101" s="44" t="s">
        <v>63</v>
      </c>
      <c r="H101" s="162" t="s">
        <v>645</v>
      </c>
      <c r="I101" s="323"/>
      <c r="J101" s="322"/>
      <c r="K101" s="44" t="s">
        <v>36</v>
      </c>
      <c r="L101" s="44" t="s">
        <v>63</v>
      </c>
      <c r="M101" s="162" t="s">
        <v>408</v>
      </c>
      <c r="N101" s="44"/>
      <c r="O101" s="319" t="s">
        <v>40</v>
      </c>
      <c r="P101" s="44" t="s">
        <v>63</v>
      </c>
      <c r="Q101" s="162" t="s">
        <v>645</v>
      </c>
      <c r="R101" s="323"/>
    </row>
    <row r="102" spans="1:20" x14ac:dyDescent="0.3">
      <c r="A102" s="322"/>
      <c r="B102" s="44"/>
      <c r="C102" s="44"/>
      <c r="D102" s="11"/>
      <c r="E102" s="44"/>
      <c r="F102" s="44"/>
      <c r="G102" s="44"/>
      <c r="H102" s="44"/>
      <c r="I102" s="323"/>
      <c r="J102" s="322"/>
      <c r="K102" s="44"/>
      <c r="L102" s="44"/>
      <c r="M102" s="11"/>
      <c r="N102" s="44"/>
      <c r="O102" s="44"/>
      <c r="P102" s="44"/>
      <c r="Q102" s="44"/>
      <c r="R102" s="323"/>
    </row>
    <row r="103" spans="1:20" x14ac:dyDescent="0.3">
      <c r="A103" s="326"/>
      <c r="B103" s="71" t="s">
        <v>61</v>
      </c>
      <c r="C103" s="71"/>
      <c r="D103" s="71"/>
      <c r="E103" s="71"/>
      <c r="F103" s="71"/>
      <c r="G103" s="71"/>
      <c r="H103" s="71"/>
      <c r="I103" s="327"/>
      <c r="J103" s="326"/>
      <c r="K103" s="71" t="s">
        <v>61</v>
      </c>
      <c r="L103" s="71"/>
      <c r="M103" s="71"/>
      <c r="N103" s="71"/>
      <c r="O103" s="71"/>
      <c r="P103" s="71"/>
      <c r="Q103" s="71"/>
      <c r="R103" s="327"/>
    </row>
    <row r="104" spans="1:20" x14ac:dyDescent="0.3">
      <c r="A104" s="328"/>
      <c r="B104" s="44" t="s">
        <v>41</v>
      </c>
      <c r="C104" s="44" t="s">
        <v>63</v>
      </c>
      <c r="D104" s="162" t="s">
        <v>409</v>
      </c>
      <c r="E104" s="44"/>
      <c r="F104" s="44" t="s">
        <v>45</v>
      </c>
      <c r="G104" s="44" t="s">
        <v>63</v>
      </c>
      <c r="H104" s="162" t="s">
        <v>409</v>
      </c>
      <c r="I104" s="323"/>
      <c r="J104" s="328"/>
      <c r="K104" s="44" t="s">
        <v>41</v>
      </c>
      <c r="L104" s="44" t="s">
        <v>63</v>
      </c>
      <c r="M104" s="162" t="s">
        <v>409</v>
      </c>
      <c r="N104" s="44"/>
      <c r="O104" s="44" t="s">
        <v>45</v>
      </c>
      <c r="P104" s="44" t="s">
        <v>63</v>
      </c>
      <c r="Q104" s="162" t="s">
        <v>409</v>
      </c>
      <c r="R104" s="323"/>
    </row>
    <row r="105" spans="1:20" x14ac:dyDescent="0.3">
      <c r="A105" s="328"/>
      <c r="B105" s="44" t="s">
        <v>42</v>
      </c>
      <c r="C105" s="44" t="s">
        <v>63</v>
      </c>
      <c r="D105" s="162" t="s">
        <v>403</v>
      </c>
      <c r="E105" s="44"/>
      <c r="F105" s="44" t="s">
        <v>46</v>
      </c>
      <c r="G105" s="44" t="s">
        <v>63</v>
      </c>
      <c r="H105" s="162" t="s">
        <v>409</v>
      </c>
      <c r="I105" s="323"/>
      <c r="J105" s="328"/>
      <c r="K105" s="44" t="s">
        <v>42</v>
      </c>
      <c r="L105" s="44" t="s">
        <v>63</v>
      </c>
      <c r="M105" s="162" t="s">
        <v>403</v>
      </c>
      <c r="N105" s="44"/>
      <c r="O105" s="44" t="s">
        <v>46</v>
      </c>
      <c r="P105" s="44" t="s">
        <v>63</v>
      </c>
      <c r="Q105" s="162" t="s">
        <v>409</v>
      </c>
      <c r="R105" s="323"/>
    </row>
    <row r="106" spans="1:20" x14ac:dyDescent="0.3">
      <c r="A106" s="328"/>
      <c r="B106" s="44" t="s">
        <v>43</v>
      </c>
      <c r="C106" s="44" t="s">
        <v>63</v>
      </c>
      <c r="D106" s="162" t="s">
        <v>409</v>
      </c>
      <c r="E106" s="44"/>
      <c r="F106" s="44" t="s">
        <v>47</v>
      </c>
      <c r="G106" s="44" t="s">
        <v>63</v>
      </c>
      <c r="H106" s="162" t="s">
        <v>409</v>
      </c>
      <c r="I106" s="323"/>
      <c r="J106" s="328"/>
      <c r="K106" s="44" t="s">
        <v>43</v>
      </c>
      <c r="L106" s="44" t="s">
        <v>63</v>
      </c>
      <c r="M106" s="162" t="s">
        <v>409</v>
      </c>
      <c r="N106" s="44"/>
      <c r="O106" s="44" t="s">
        <v>47</v>
      </c>
      <c r="P106" s="44" t="s">
        <v>63</v>
      </c>
      <c r="Q106" s="162" t="s">
        <v>409</v>
      </c>
      <c r="R106" s="323"/>
    </row>
    <row r="107" spans="1:20" x14ac:dyDescent="0.3">
      <c r="A107" s="328"/>
      <c r="B107" s="44" t="s">
        <v>44</v>
      </c>
      <c r="C107" s="44" t="s">
        <v>63</v>
      </c>
      <c r="D107" s="162" t="s">
        <v>409</v>
      </c>
      <c r="E107" s="44"/>
      <c r="F107" s="44" t="s">
        <v>48</v>
      </c>
      <c r="G107" s="44" t="s">
        <v>63</v>
      </c>
      <c r="H107" s="162" t="s">
        <v>409</v>
      </c>
      <c r="I107" s="323"/>
      <c r="J107" s="328"/>
      <c r="K107" s="44" t="s">
        <v>44</v>
      </c>
      <c r="L107" s="44" t="s">
        <v>63</v>
      </c>
      <c r="M107" s="162" t="s">
        <v>409</v>
      </c>
      <c r="N107" s="44"/>
      <c r="O107" s="44" t="s">
        <v>48</v>
      </c>
      <c r="P107" s="44" t="s">
        <v>63</v>
      </c>
      <c r="Q107" s="162" t="s">
        <v>409</v>
      </c>
      <c r="R107" s="323"/>
    </row>
    <row r="108" spans="1:20" x14ac:dyDescent="0.3">
      <c r="A108" s="328"/>
      <c r="B108" s="44"/>
      <c r="C108" s="44"/>
      <c r="D108" s="47"/>
      <c r="E108" s="44"/>
      <c r="F108" s="44"/>
      <c r="G108" s="44"/>
      <c r="H108" s="47"/>
      <c r="I108" s="323"/>
      <c r="J108" s="328"/>
      <c r="K108" s="44"/>
      <c r="L108" s="44"/>
      <c r="M108" s="47"/>
      <c r="N108" s="44"/>
      <c r="O108" s="44"/>
      <c r="P108" s="44"/>
      <c r="Q108" s="47"/>
      <c r="R108" s="323"/>
    </row>
    <row r="109" spans="1:20" x14ac:dyDescent="0.3">
      <c r="A109" s="326"/>
      <c r="B109" s="71" t="s">
        <v>49</v>
      </c>
      <c r="C109" s="71"/>
      <c r="D109" s="71"/>
      <c r="E109" s="71"/>
      <c r="F109" s="71"/>
      <c r="G109" s="71"/>
      <c r="H109" s="71"/>
      <c r="I109" s="327"/>
      <c r="J109" s="326"/>
      <c r="K109" s="71" t="s">
        <v>49</v>
      </c>
      <c r="L109" s="71"/>
      <c r="M109" s="71"/>
      <c r="N109" s="71"/>
      <c r="O109" s="71"/>
      <c r="P109" s="71"/>
      <c r="Q109" s="71"/>
      <c r="R109" s="327"/>
    </row>
    <row r="110" spans="1:20" x14ac:dyDescent="0.3">
      <c r="A110" s="326"/>
      <c r="B110" s="71" t="s">
        <v>70</v>
      </c>
      <c r="C110" s="71"/>
      <c r="D110" s="71"/>
      <c r="E110" s="71"/>
      <c r="F110" s="71" t="s">
        <v>71</v>
      </c>
      <c r="G110" s="71"/>
      <c r="H110" s="71"/>
      <c r="I110" s="327"/>
      <c r="J110" s="326"/>
      <c r="K110" s="71" t="s">
        <v>70</v>
      </c>
      <c r="L110" s="71"/>
      <c r="M110" s="71"/>
      <c r="N110" s="71"/>
      <c r="O110" s="71" t="s">
        <v>71</v>
      </c>
      <c r="P110" s="71"/>
      <c r="Q110" s="71"/>
      <c r="R110" s="327"/>
      <c r="T110" s="783">
        <f>515522000/322</f>
        <v>1601000</v>
      </c>
    </row>
    <row r="111" spans="1:20" x14ac:dyDescent="0.3">
      <c r="A111" s="324"/>
      <c r="B111" s="38" t="s">
        <v>53</v>
      </c>
      <c r="C111" s="44" t="s">
        <v>63</v>
      </c>
      <c r="D111" s="683">
        <v>498</v>
      </c>
      <c r="E111" s="38"/>
      <c r="F111" s="38" t="s">
        <v>53</v>
      </c>
      <c r="G111" s="44" t="s">
        <v>63</v>
      </c>
      <c r="H111" s="49">
        <v>172</v>
      </c>
      <c r="I111" s="323"/>
      <c r="J111" s="324"/>
      <c r="K111" s="38" t="s">
        <v>53</v>
      </c>
      <c r="L111" s="44" t="s">
        <v>63</v>
      </c>
      <c r="M111" s="683">
        <v>322</v>
      </c>
      <c r="N111" s="38"/>
      <c r="O111" s="38" t="s">
        <v>53</v>
      </c>
      <c r="P111" s="44" t="s">
        <v>63</v>
      </c>
      <c r="Q111" s="49">
        <v>322</v>
      </c>
      <c r="R111" s="323"/>
      <c r="T111" s="783">
        <f>787834000/231</f>
        <v>3410536.7965367967</v>
      </c>
    </row>
    <row r="112" spans="1:20" x14ac:dyDescent="0.3">
      <c r="A112" s="322"/>
      <c r="B112" s="44" t="s">
        <v>54</v>
      </c>
      <c r="C112" s="44" t="s">
        <v>63</v>
      </c>
      <c r="D112" s="683">
        <v>64000</v>
      </c>
      <c r="E112" s="44"/>
      <c r="F112" s="44" t="s">
        <v>54</v>
      </c>
      <c r="G112" s="44" t="s">
        <v>63</v>
      </c>
      <c r="H112" s="683">
        <v>6800000</v>
      </c>
      <c r="I112" s="323"/>
      <c r="J112" s="322"/>
      <c r="K112" s="44" t="s">
        <v>54</v>
      </c>
      <c r="L112" s="44" t="s">
        <v>63</v>
      </c>
      <c r="M112" s="683">
        <v>48000</v>
      </c>
      <c r="N112" s="44"/>
      <c r="O112" s="44" t="s">
        <v>54</v>
      </c>
      <c r="P112" s="44" t="s">
        <v>63</v>
      </c>
      <c r="Q112" s="683">
        <v>1500000</v>
      </c>
      <c r="R112" s="323"/>
    </row>
    <row r="113" spans="1:20" x14ac:dyDescent="0.3">
      <c r="A113" s="322"/>
      <c r="B113" s="329" t="s">
        <v>501</v>
      </c>
      <c r="C113" s="329" t="s">
        <v>63</v>
      </c>
      <c r="D113" s="165">
        <f>D112*D111</f>
        <v>31872000</v>
      </c>
      <c r="E113" s="44"/>
      <c r="F113" s="329" t="s">
        <v>501</v>
      </c>
      <c r="G113" s="329" t="s">
        <v>63</v>
      </c>
      <c r="H113" s="165">
        <f>H111*H112</f>
        <v>1169600000</v>
      </c>
      <c r="I113" s="323"/>
      <c r="J113" s="322"/>
      <c r="K113" s="329" t="s">
        <v>501</v>
      </c>
      <c r="L113" s="329" t="s">
        <v>63</v>
      </c>
      <c r="M113" s="165">
        <f>M112*M111</f>
        <v>15456000</v>
      </c>
      <c r="N113" s="44"/>
      <c r="O113" s="329" t="s">
        <v>501</v>
      </c>
      <c r="P113" s="329" t="s">
        <v>63</v>
      </c>
      <c r="Q113" s="165">
        <f>Q111*Q112</f>
        <v>483000000</v>
      </c>
      <c r="R113" s="323"/>
    </row>
    <row r="114" spans="1:20" x14ac:dyDescent="0.3">
      <c r="A114" s="330"/>
      <c r="B114" s="38" t="s">
        <v>50</v>
      </c>
      <c r="C114" s="44" t="s">
        <v>63</v>
      </c>
      <c r="D114" s="683">
        <v>209</v>
      </c>
      <c r="E114" s="44"/>
      <c r="F114" s="331" t="s">
        <v>363</v>
      </c>
      <c r="G114" s="44" t="s">
        <v>63</v>
      </c>
      <c r="H114" s="49">
        <v>152</v>
      </c>
      <c r="I114" s="323"/>
      <c r="J114" s="330"/>
      <c r="K114" s="38" t="s">
        <v>50</v>
      </c>
      <c r="L114" s="44" t="s">
        <v>63</v>
      </c>
      <c r="M114" s="683"/>
      <c r="N114" s="44"/>
      <c r="O114" s="331" t="s">
        <v>363</v>
      </c>
      <c r="P114" s="44" t="s">
        <v>63</v>
      </c>
      <c r="Q114" s="49">
        <v>231</v>
      </c>
      <c r="R114" s="323"/>
    </row>
    <row r="115" spans="1:20" x14ac:dyDescent="0.3">
      <c r="A115" s="322"/>
      <c r="B115" s="38" t="s">
        <v>55</v>
      </c>
      <c r="C115" s="44" t="s">
        <v>63</v>
      </c>
      <c r="D115" s="683">
        <v>71000</v>
      </c>
      <c r="E115" s="44"/>
      <c r="F115" s="11" t="s">
        <v>364</v>
      </c>
      <c r="G115" s="44" t="s">
        <v>63</v>
      </c>
      <c r="H115" s="49">
        <v>0</v>
      </c>
      <c r="I115" s="323"/>
      <c r="J115" s="322"/>
      <c r="K115" s="38" t="s">
        <v>55</v>
      </c>
      <c r="L115" s="44" t="s">
        <v>63</v>
      </c>
      <c r="M115" s="683"/>
      <c r="N115" s="44"/>
      <c r="O115" s="11" t="s">
        <v>364</v>
      </c>
      <c r="P115" s="44" t="s">
        <v>63</v>
      </c>
      <c r="Q115" s="49">
        <v>0</v>
      </c>
      <c r="R115" s="323"/>
      <c r="T115" s="783">
        <f>1112496000/172</f>
        <v>6468000</v>
      </c>
    </row>
    <row r="116" spans="1:20" x14ac:dyDescent="0.3">
      <c r="A116" s="322"/>
      <c r="B116" s="329" t="str">
        <f>B113</f>
        <v>Nilai Wajar</v>
      </c>
      <c r="C116" s="329" t="s">
        <v>63</v>
      </c>
      <c r="D116" s="165">
        <f>D114*D115</f>
        <v>14839000</v>
      </c>
      <c r="E116" s="44"/>
      <c r="F116" s="38" t="s">
        <v>55</v>
      </c>
      <c r="G116" s="44" t="s">
        <v>63</v>
      </c>
      <c r="H116" s="822">
        <v>3000000</v>
      </c>
      <c r="I116" s="323"/>
      <c r="J116" s="322"/>
      <c r="K116" s="329" t="str">
        <f>K113</f>
        <v>Nilai Wajar</v>
      </c>
      <c r="L116" s="329" t="s">
        <v>63</v>
      </c>
      <c r="M116" s="165">
        <f>M114*M115</f>
        <v>0</v>
      </c>
      <c r="N116" s="44"/>
      <c r="O116" s="38" t="s">
        <v>55</v>
      </c>
      <c r="P116" s="44" t="s">
        <v>63</v>
      </c>
      <c r="Q116" s="49">
        <v>2800000</v>
      </c>
      <c r="R116" s="323"/>
      <c r="T116" s="783">
        <f>515934000/152</f>
        <v>3394302.6315789474</v>
      </c>
    </row>
    <row r="117" spans="1:20" x14ac:dyDescent="0.3">
      <c r="A117" s="322"/>
      <c r="B117" s="83"/>
      <c r="C117" s="44"/>
      <c r="D117" s="49"/>
      <c r="E117" s="44"/>
      <c r="F117" s="329" t="str">
        <f>F113</f>
        <v>Nilai Wajar</v>
      </c>
      <c r="G117" s="329"/>
      <c r="H117" s="165">
        <f>(H114+H115)*H116</f>
        <v>456000000</v>
      </c>
      <c r="I117" s="323"/>
      <c r="J117" s="322"/>
      <c r="K117" s="83"/>
      <c r="L117" s="44"/>
      <c r="M117" s="49"/>
      <c r="N117" s="44"/>
      <c r="O117" s="329" t="str">
        <f>O113</f>
        <v>Nilai Wajar</v>
      </c>
      <c r="P117" s="329"/>
      <c r="Q117" s="165">
        <f>(Q114+Q115)*Q116</f>
        <v>646800000</v>
      </c>
      <c r="R117" s="323"/>
    </row>
    <row r="118" spans="1:20" x14ac:dyDescent="0.3">
      <c r="A118" s="332"/>
      <c r="B118" s="164" t="s">
        <v>502</v>
      </c>
      <c r="C118" s="164" t="s">
        <v>63</v>
      </c>
      <c r="D118" s="165">
        <f>D113+D116</f>
        <v>46711000</v>
      </c>
      <c r="E118" s="66"/>
      <c r="F118" s="164" t="s">
        <v>502</v>
      </c>
      <c r="G118" s="164" t="s">
        <v>63</v>
      </c>
      <c r="H118" s="165">
        <f>H113+H117</f>
        <v>1625600000</v>
      </c>
      <c r="I118" s="327"/>
      <c r="J118" s="332"/>
      <c r="K118" s="164" t="s">
        <v>502</v>
      </c>
      <c r="L118" s="164" t="s">
        <v>63</v>
      </c>
      <c r="M118" s="165">
        <f>M113+M116</f>
        <v>15456000</v>
      </c>
      <c r="N118" s="66"/>
      <c r="O118" s="164" t="s">
        <v>502</v>
      </c>
      <c r="P118" s="164" t="s">
        <v>63</v>
      </c>
      <c r="Q118" s="165">
        <f>Q113+Q117</f>
        <v>1129800000</v>
      </c>
      <c r="R118" s="327"/>
    </row>
    <row r="119" spans="1:20" x14ac:dyDescent="0.3">
      <c r="A119" s="332"/>
      <c r="B119" s="164" t="s">
        <v>750</v>
      </c>
      <c r="C119" s="164" t="s">
        <v>63</v>
      </c>
      <c r="D119" s="165">
        <f>D118*75%</f>
        <v>35033250</v>
      </c>
      <c r="E119" s="66"/>
      <c r="F119" s="164" t="s">
        <v>750</v>
      </c>
      <c r="G119" s="164" t="s">
        <v>63</v>
      </c>
      <c r="H119" s="165">
        <f>H118*75%</f>
        <v>1219200000</v>
      </c>
      <c r="I119" s="327"/>
      <c r="J119" s="332"/>
      <c r="K119" s="164" t="s">
        <v>750</v>
      </c>
      <c r="L119" s="164" t="s">
        <v>63</v>
      </c>
      <c r="M119" s="165">
        <f>M118*75%</f>
        <v>11592000</v>
      </c>
      <c r="N119" s="66"/>
      <c r="O119" s="164" t="s">
        <v>750</v>
      </c>
      <c r="P119" s="164" t="s">
        <v>63</v>
      </c>
      <c r="Q119" s="165">
        <f>Q118*75%</f>
        <v>847350000</v>
      </c>
      <c r="R119" s="327"/>
    </row>
    <row r="120" spans="1:20" x14ac:dyDescent="0.3">
      <c r="A120" s="332"/>
      <c r="B120" s="164" t="s">
        <v>503</v>
      </c>
      <c r="C120" s="164" t="s">
        <v>63</v>
      </c>
      <c r="D120" s="392">
        <f>D118*55%</f>
        <v>25691050.000000004</v>
      </c>
      <c r="E120" s="66"/>
      <c r="F120" s="164" t="s">
        <v>503</v>
      </c>
      <c r="G120" s="164" t="s">
        <v>63</v>
      </c>
      <c r="H120" s="392">
        <f>H118*55%</f>
        <v>894080000.00000012</v>
      </c>
      <c r="I120" s="327"/>
      <c r="J120" s="332"/>
      <c r="K120" s="164" t="s">
        <v>503</v>
      </c>
      <c r="L120" s="164" t="s">
        <v>63</v>
      </c>
      <c r="M120" s="392">
        <f>M118*55%</f>
        <v>8500800</v>
      </c>
      <c r="N120" s="66"/>
      <c r="O120" s="164" t="s">
        <v>503</v>
      </c>
      <c r="P120" s="164" t="s">
        <v>63</v>
      </c>
      <c r="Q120" s="392">
        <f>Q118*55%</f>
        <v>621390000</v>
      </c>
      <c r="R120" s="327"/>
    </row>
    <row r="121" spans="1:20" x14ac:dyDescent="0.3">
      <c r="A121" s="332"/>
      <c r="B121" s="66" t="s">
        <v>450</v>
      </c>
      <c r="C121" s="66"/>
      <c r="D121" s="220"/>
      <c r="E121" s="66"/>
      <c r="F121" s="329"/>
      <c r="G121" s="329"/>
      <c r="H121" s="220"/>
      <c r="I121" s="327"/>
      <c r="J121" s="332"/>
      <c r="K121" s="66" t="s">
        <v>450</v>
      </c>
      <c r="L121" s="66"/>
      <c r="M121" s="220"/>
      <c r="N121" s="66"/>
      <c r="O121" s="329"/>
      <c r="P121" s="329"/>
      <c r="Q121" s="220"/>
      <c r="R121" s="327"/>
    </row>
    <row r="122" spans="1:20" x14ac:dyDescent="0.3">
      <c r="A122" s="322"/>
      <c r="B122" s="44"/>
      <c r="C122" s="44"/>
      <c r="D122" s="44"/>
      <c r="E122" s="44"/>
      <c r="F122" s="44"/>
      <c r="G122" s="333"/>
      <c r="H122" s="59"/>
      <c r="I122" s="323"/>
      <c r="J122" s="322"/>
      <c r="K122" s="44"/>
      <c r="L122" s="44"/>
      <c r="M122" s="44"/>
      <c r="N122" s="44"/>
      <c r="O122" s="44"/>
      <c r="P122" s="333"/>
      <c r="Q122" s="59"/>
      <c r="R122" s="323"/>
    </row>
    <row r="123" spans="1:20" x14ac:dyDescent="0.3">
      <c r="A123" s="332"/>
      <c r="B123" s="66" t="s">
        <v>62</v>
      </c>
      <c r="C123" s="66"/>
      <c r="D123" s="66"/>
      <c r="E123" s="66"/>
      <c r="F123" s="66"/>
      <c r="G123" s="334"/>
      <c r="H123" s="335"/>
      <c r="I123" s="327"/>
      <c r="J123" s="332"/>
      <c r="K123" s="66" t="s">
        <v>62</v>
      </c>
      <c r="L123" s="66"/>
      <c r="M123" s="66"/>
      <c r="N123" s="66"/>
      <c r="O123" s="66"/>
      <c r="P123" s="334"/>
      <c r="Q123" s="335"/>
      <c r="R123" s="327"/>
    </row>
    <row r="124" spans="1:20" x14ac:dyDescent="0.3">
      <c r="A124" s="322"/>
      <c r="B124" s="843" t="str">
        <f>W52&amp;" "&amp;W53&amp;" "&amp;W54&amp;" "&amp;W59&amp;" "&amp;W56&amp;" "&amp;W57</f>
        <v>Kami telah melakukan peninjauan terhadap objek di atas, dan menurut kami tanah dan atau bangunan tersebut LAYAK untuk dijadikan agunan kredit pada PT. BPR BANK WONOSOBO (PERSERODA) dengan plafon kredit (sebagai pertimbangan collateral) adalah Rp 1.219.200.000  Kami yakin bahwa objek yang dinilai adalah yang dimaksudkan oleh bank dan penilaian didasarkan pada data yang tersedia Hasil penilaian tidak dipengaruhi oleh kepentingan pribadi baik langsung maupun tidak langsung .</v>
      </c>
      <c r="C124" s="844"/>
      <c r="D124" s="844"/>
      <c r="E124" s="844"/>
      <c r="F124" s="844"/>
      <c r="G124" s="844"/>
      <c r="H124" s="845"/>
      <c r="I124" s="323"/>
      <c r="J124" s="322"/>
      <c r="K124" s="852" t="str">
        <f>W52&amp;" "&amp;W53&amp;" "&amp;W54&amp;" "&amp;Y59&amp;" "&amp;W56&amp;" "&amp;W57</f>
        <v>Kami telah melakukan peninjauan terhadap objek di atas, dan menurut kami tanah dan atau bangunan tersebut LAYAK untuk dijadikan agunan kredit pada PT. BPR BANK WONOSOBO (PERSERODA) dengan plafon kredit (sebagai pertimbangan collateral) adalah Rp 847.350.000  Kami yakin bahwa objek yang dinilai adalah yang dimaksudkan oleh bank dan penilaian didasarkan pada data yang tersedia Hasil penilaian tidak dipengaruhi oleh kepentingan pribadi baik langsung maupun tidak langsung .</v>
      </c>
      <c r="L124" s="853"/>
      <c r="M124" s="853"/>
      <c r="N124" s="853"/>
      <c r="O124" s="853"/>
      <c r="P124" s="853"/>
      <c r="Q124" s="854"/>
      <c r="R124" s="323"/>
    </row>
    <row r="125" spans="1:20" x14ac:dyDescent="0.3">
      <c r="A125" s="324" t="s">
        <v>424</v>
      </c>
      <c r="B125" s="846"/>
      <c r="C125" s="847"/>
      <c r="D125" s="847"/>
      <c r="E125" s="847"/>
      <c r="F125" s="847"/>
      <c r="G125" s="847"/>
      <c r="H125" s="848"/>
      <c r="I125" s="323"/>
      <c r="J125" s="324" t="s">
        <v>424</v>
      </c>
      <c r="K125" s="855"/>
      <c r="L125" s="856"/>
      <c r="M125" s="856"/>
      <c r="N125" s="856"/>
      <c r="O125" s="856"/>
      <c r="P125" s="856"/>
      <c r="Q125" s="857"/>
      <c r="R125" s="323"/>
    </row>
    <row r="126" spans="1:20" x14ac:dyDescent="0.3">
      <c r="A126" s="324"/>
      <c r="B126" s="846"/>
      <c r="C126" s="847"/>
      <c r="D126" s="847"/>
      <c r="E126" s="847"/>
      <c r="F126" s="847"/>
      <c r="G126" s="847"/>
      <c r="H126" s="848"/>
      <c r="I126" s="323"/>
      <c r="J126" s="324"/>
      <c r="K126" s="855"/>
      <c r="L126" s="856"/>
      <c r="M126" s="856"/>
      <c r="N126" s="856"/>
      <c r="O126" s="856"/>
      <c r="P126" s="856"/>
      <c r="Q126" s="857"/>
      <c r="R126" s="323"/>
    </row>
    <row r="127" spans="1:20" x14ac:dyDescent="0.3">
      <c r="A127" s="324"/>
      <c r="B127" s="846"/>
      <c r="C127" s="847"/>
      <c r="D127" s="847"/>
      <c r="E127" s="847"/>
      <c r="F127" s="847"/>
      <c r="G127" s="847"/>
      <c r="H127" s="848"/>
      <c r="I127" s="323"/>
      <c r="J127" s="324"/>
      <c r="K127" s="855"/>
      <c r="L127" s="856"/>
      <c r="M127" s="856"/>
      <c r="N127" s="856"/>
      <c r="O127" s="856"/>
      <c r="P127" s="856"/>
      <c r="Q127" s="857"/>
      <c r="R127" s="323"/>
    </row>
    <row r="128" spans="1:20" x14ac:dyDescent="0.3">
      <c r="A128" s="324"/>
      <c r="B128" s="849"/>
      <c r="C128" s="850"/>
      <c r="D128" s="850"/>
      <c r="E128" s="850"/>
      <c r="F128" s="850"/>
      <c r="G128" s="850"/>
      <c r="H128" s="851"/>
      <c r="I128" s="323"/>
      <c r="J128" s="324"/>
      <c r="K128" s="858"/>
      <c r="L128" s="859"/>
      <c r="M128" s="859"/>
      <c r="N128" s="859"/>
      <c r="O128" s="859"/>
      <c r="P128" s="859"/>
      <c r="Q128" s="860"/>
      <c r="R128" s="323"/>
    </row>
    <row r="129" spans="1:18" x14ac:dyDescent="0.3">
      <c r="A129" s="324"/>
      <c r="B129" s="738"/>
      <c r="C129" s="738"/>
      <c r="D129" s="738"/>
      <c r="E129" s="738"/>
      <c r="F129" s="738"/>
      <c r="G129" s="738"/>
      <c r="H129" s="738"/>
      <c r="I129" s="323"/>
      <c r="J129" s="324"/>
      <c r="K129" s="738"/>
      <c r="L129" s="738"/>
      <c r="M129" s="738"/>
      <c r="N129" s="738"/>
      <c r="O129" s="738"/>
      <c r="P129" s="738"/>
      <c r="Q129" s="738"/>
      <c r="R129" s="323"/>
    </row>
    <row r="130" spans="1:18" x14ac:dyDescent="0.3">
      <c r="A130" s="330"/>
      <c r="B130" s="784" t="s">
        <v>718</v>
      </c>
      <c r="C130" s="750"/>
      <c r="D130" s="784" t="s">
        <v>4</v>
      </c>
      <c r="E130" s="750"/>
      <c r="F130" s="31" t="s">
        <v>4</v>
      </c>
      <c r="G130" s="749"/>
      <c r="H130" s="31" t="s">
        <v>4</v>
      </c>
      <c r="I130" s="323"/>
      <c r="J130" s="330"/>
      <c r="K130" s="784" t="s">
        <v>718</v>
      </c>
      <c r="L130" s="800"/>
      <c r="M130" s="784" t="s">
        <v>4</v>
      </c>
      <c r="N130" s="800"/>
      <c r="O130" s="31" t="s">
        <v>4</v>
      </c>
      <c r="P130" s="798"/>
      <c r="Q130" s="31" t="s">
        <v>4</v>
      </c>
      <c r="R130" s="323"/>
    </row>
    <row r="131" spans="1:18" x14ac:dyDescent="0.3">
      <c r="A131" s="330"/>
      <c r="B131" s="29"/>
      <c r="C131" s="750"/>
      <c r="D131" s="29"/>
      <c r="E131" s="750"/>
      <c r="F131" s="33"/>
      <c r="G131" s="749"/>
      <c r="H131" s="33"/>
      <c r="I131" s="323"/>
      <c r="J131" s="330"/>
      <c r="K131" s="29"/>
      <c r="L131" s="800"/>
      <c r="M131" s="29"/>
      <c r="N131" s="800"/>
      <c r="O131" s="33"/>
      <c r="P131" s="798"/>
      <c r="Q131" s="33"/>
      <c r="R131" s="323"/>
    </row>
    <row r="132" spans="1:18" x14ac:dyDescent="0.3">
      <c r="A132" s="330"/>
      <c r="B132" s="33"/>
      <c r="C132" s="750"/>
      <c r="D132" s="33"/>
      <c r="E132" s="750"/>
      <c r="F132" s="33"/>
      <c r="G132" s="749"/>
      <c r="H132" s="33"/>
      <c r="I132" s="323"/>
      <c r="J132" s="330"/>
      <c r="K132" s="33"/>
      <c r="L132" s="800"/>
      <c r="M132" s="33"/>
      <c r="N132" s="800"/>
      <c r="O132" s="33"/>
      <c r="P132" s="798"/>
      <c r="Q132" s="33"/>
      <c r="R132" s="323"/>
    </row>
    <row r="133" spans="1:18" x14ac:dyDescent="0.3">
      <c r="A133" s="330"/>
      <c r="B133" s="33"/>
      <c r="C133" s="750"/>
      <c r="D133" s="33"/>
      <c r="E133" s="750"/>
      <c r="F133" s="33"/>
      <c r="G133" s="749"/>
      <c r="H133" s="33"/>
      <c r="I133" s="323"/>
      <c r="J133" s="330"/>
      <c r="K133" s="33"/>
      <c r="L133" s="800"/>
      <c r="M133" s="33"/>
      <c r="N133" s="800"/>
      <c r="O133" s="33"/>
      <c r="P133" s="798"/>
      <c r="Q133" s="33"/>
      <c r="R133" s="323"/>
    </row>
    <row r="134" spans="1:18" x14ac:dyDescent="0.3">
      <c r="A134" s="330"/>
      <c r="B134" s="181" t="str">
        <f>B62</f>
        <v>ADRIAN WAHYU P</v>
      </c>
      <c r="C134" s="750"/>
      <c r="D134" s="181" t="s">
        <v>745</v>
      </c>
      <c r="E134" s="750"/>
      <c r="F134" s="736" t="s">
        <v>746</v>
      </c>
      <c r="G134" s="749"/>
      <c r="H134" s="736" t="s">
        <v>570</v>
      </c>
      <c r="I134" s="323"/>
      <c r="J134" s="330"/>
      <c r="K134" s="181" t="str">
        <f>K62</f>
        <v>ADRIAN WAHYU P</v>
      </c>
      <c r="L134" s="800"/>
      <c r="M134" s="181" t="s">
        <v>745</v>
      </c>
      <c r="N134" s="800"/>
      <c r="O134" s="736" t="s">
        <v>746</v>
      </c>
      <c r="P134" s="798"/>
      <c r="Q134" s="736" t="s">
        <v>570</v>
      </c>
      <c r="R134" s="323"/>
    </row>
    <row r="135" spans="1:18" x14ac:dyDescent="0.3">
      <c r="A135" s="330"/>
      <c r="B135" s="207" t="s">
        <v>511</v>
      </c>
      <c r="C135" s="750"/>
      <c r="D135" s="207" t="s">
        <v>512</v>
      </c>
      <c r="E135" s="750"/>
      <c r="F135" s="736" t="s">
        <v>715</v>
      </c>
      <c r="G135" s="749"/>
      <c r="H135" s="736" t="s">
        <v>751</v>
      </c>
      <c r="I135" s="323"/>
      <c r="J135" s="330"/>
      <c r="K135" s="207" t="s">
        <v>511</v>
      </c>
      <c r="L135" s="800"/>
      <c r="M135" s="207" t="s">
        <v>512</v>
      </c>
      <c r="N135" s="800"/>
      <c r="O135" s="736" t="s">
        <v>715</v>
      </c>
      <c r="P135" s="798"/>
      <c r="Q135" s="736" t="s">
        <v>751</v>
      </c>
      <c r="R135" s="323"/>
    </row>
    <row r="136" spans="1:18" x14ac:dyDescent="0.3">
      <c r="A136" s="336"/>
      <c r="B136" s="737"/>
      <c r="C136" s="737"/>
      <c r="D136" s="737"/>
      <c r="E136" s="737"/>
      <c r="F136" s="737"/>
      <c r="G136" s="737"/>
      <c r="H136" s="737"/>
      <c r="I136" s="323"/>
      <c r="J136" s="336"/>
      <c r="K136" s="800"/>
      <c r="L136" s="800"/>
      <c r="M136" s="800"/>
      <c r="N136" s="800"/>
      <c r="O136" s="800"/>
      <c r="P136" s="800"/>
      <c r="Q136" s="800"/>
      <c r="R136" s="323"/>
    </row>
    <row r="137" spans="1:18" x14ac:dyDescent="0.3">
      <c r="A137" s="336"/>
      <c r="B137" s="31" t="s">
        <v>4</v>
      </c>
      <c r="C137" s="737"/>
      <c r="D137" s="181" t="s">
        <v>554</v>
      </c>
      <c r="E137" s="66"/>
      <c r="F137" s="66"/>
      <c r="G137" s="737"/>
      <c r="H137" s="799"/>
      <c r="I137" s="323"/>
      <c r="J137" s="336"/>
      <c r="K137" s="31" t="s">
        <v>4</v>
      </c>
      <c r="L137" s="800"/>
      <c r="M137" s="181" t="s">
        <v>554</v>
      </c>
      <c r="N137" s="66"/>
      <c r="O137" s="66"/>
      <c r="P137" s="800"/>
      <c r="Q137" s="799"/>
      <c r="R137" s="323"/>
    </row>
    <row r="138" spans="1:18" x14ac:dyDescent="0.3">
      <c r="A138" s="336"/>
      <c r="B138" s="33"/>
      <c r="C138" s="737"/>
      <c r="D138" s="33"/>
      <c r="E138" s="66"/>
      <c r="F138" s="66"/>
      <c r="G138" s="737"/>
      <c r="H138" s="800"/>
      <c r="I138" s="323"/>
      <c r="J138" s="336"/>
      <c r="K138" s="33"/>
      <c r="L138" s="800"/>
      <c r="M138" s="33"/>
      <c r="N138" s="66"/>
      <c r="O138" s="66"/>
      <c r="P138" s="800"/>
      <c r="Q138" s="800"/>
      <c r="R138" s="323"/>
    </row>
    <row r="139" spans="1:18" x14ac:dyDescent="0.3">
      <c r="A139" s="336"/>
      <c r="B139" s="33"/>
      <c r="C139" s="737"/>
      <c r="D139" s="33"/>
      <c r="E139" s="66"/>
      <c r="F139" s="66"/>
      <c r="G139" s="737"/>
      <c r="H139" s="800"/>
      <c r="I139" s="323"/>
      <c r="J139" s="336"/>
      <c r="K139" s="33"/>
      <c r="L139" s="800"/>
      <c r="M139" s="33"/>
      <c r="N139" s="66"/>
      <c r="O139" s="66"/>
      <c r="P139" s="800"/>
      <c r="Q139" s="800"/>
      <c r="R139" s="323"/>
    </row>
    <row r="140" spans="1:18" x14ac:dyDescent="0.3">
      <c r="A140" s="336"/>
      <c r="B140" s="33"/>
      <c r="C140" s="737"/>
      <c r="D140" s="33"/>
      <c r="E140" s="66"/>
      <c r="F140" s="66"/>
      <c r="G140" s="737"/>
      <c r="H140" s="800"/>
      <c r="I140" s="323"/>
      <c r="J140" s="336"/>
      <c r="K140" s="33"/>
      <c r="L140" s="800"/>
      <c r="M140" s="33"/>
      <c r="N140" s="66"/>
      <c r="O140" s="66"/>
      <c r="P140" s="800"/>
      <c r="Q140" s="800"/>
      <c r="R140" s="323"/>
    </row>
    <row r="141" spans="1:18" x14ac:dyDescent="0.3">
      <c r="A141" s="336"/>
      <c r="B141" s="736" t="s">
        <v>748</v>
      </c>
      <c r="C141" s="737"/>
      <c r="D141" s="802" t="s">
        <v>671</v>
      </c>
      <c r="E141" s="66"/>
      <c r="F141" s="66"/>
      <c r="G141" s="737"/>
      <c r="H141" s="803"/>
      <c r="I141" s="323"/>
      <c r="J141" s="336"/>
      <c r="K141" s="736" t="s">
        <v>748</v>
      </c>
      <c r="L141" s="800"/>
      <c r="M141" s="802" t="s">
        <v>671</v>
      </c>
      <c r="N141" s="66"/>
      <c r="O141" s="66"/>
      <c r="P141" s="800"/>
      <c r="Q141" s="803"/>
      <c r="R141" s="323"/>
    </row>
    <row r="142" spans="1:18" x14ac:dyDescent="0.3">
      <c r="A142" s="336"/>
      <c r="B142" s="736" t="s">
        <v>12</v>
      </c>
      <c r="C142" s="737"/>
      <c r="D142" s="736" t="s">
        <v>701</v>
      </c>
      <c r="E142" s="801"/>
      <c r="F142" s="801"/>
      <c r="G142" s="737"/>
      <c r="H142" s="804"/>
      <c r="I142" s="323"/>
      <c r="J142" s="336"/>
      <c r="K142" s="736" t="str">
        <f>B142</f>
        <v>Direktur Utama</v>
      </c>
      <c r="L142" s="800"/>
      <c r="M142" s="736" t="s">
        <v>701</v>
      </c>
      <c r="N142" s="801"/>
      <c r="O142" s="801"/>
      <c r="P142" s="800"/>
      <c r="Q142" s="804"/>
      <c r="R142" s="323"/>
    </row>
    <row r="143" spans="1:18" ht="15" thickBot="1" x14ac:dyDescent="0.35">
      <c r="A143" s="337"/>
      <c r="B143" s="338"/>
      <c r="C143" s="339" t="s">
        <v>14</v>
      </c>
      <c r="D143" s="339"/>
      <c r="E143" s="340"/>
      <c r="F143" s="340"/>
      <c r="G143" s="340"/>
      <c r="H143" s="340"/>
      <c r="I143" s="341"/>
      <c r="J143" s="337"/>
      <c r="K143" s="338"/>
      <c r="L143" s="339" t="s">
        <v>14</v>
      </c>
      <c r="M143" s="339"/>
      <c r="N143" s="340"/>
      <c r="O143" s="340"/>
      <c r="P143" s="340"/>
      <c r="Q143" s="340"/>
      <c r="R143" s="341"/>
    </row>
    <row r="145" spans="8:17" x14ac:dyDescent="0.3">
      <c r="K145" s="695">
        <f>H47+Q47+H119+Q119</f>
        <v>4085070000</v>
      </c>
    </row>
    <row r="146" spans="8:17" x14ac:dyDescent="0.3">
      <c r="H146" s="783">
        <f>1177168000/172</f>
        <v>6844000</v>
      </c>
      <c r="Q146" s="81">
        <v>2025</v>
      </c>
    </row>
    <row r="147" spans="8:17" x14ac:dyDescent="0.3">
      <c r="H147" s="783">
        <f>469500000/152</f>
        <v>3088815.789473684</v>
      </c>
      <c r="K147" s="695">
        <f>H119+Q119</f>
        <v>2066550000</v>
      </c>
      <c r="O147" s="783">
        <f>575414000/322</f>
        <v>1787000</v>
      </c>
      <c r="Q147" s="81" t="s">
        <v>762</v>
      </c>
    </row>
    <row r="148" spans="8:17" x14ac:dyDescent="0.3">
      <c r="O148" s="783">
        <f>663600000/231</f>
        <v>2872727.2727272729</v>
      </c>
      <c r="Q148" s="81" t="s">
        <v>763</v>
      </c>
    </row>
  </sheetData>
  <mergeCells count="15">
    <mergeCell ref="B124:H128"/>
    <mergeCell ref="K72:Q72"/>
    <mergeCell ref="K73:Q73"/>
    <mergeCell ref="K124:Q128"/>
    <mergeCell ref="X80:AD84"/>
    <mergeCell ref="B73:H73"/>
    <mergeCell ref="M65:O65"/>
    <mergeCell ref="M70:O70"/>
    <mergeCell ref="B72:H72"/>
    <mergeCell ref="B1:H1"/>
    <mergeCell ref="B2:H2"/>
    <mergeCell ref="K1:Q1"/>
    <mergeCell ref="K2:Q2"/>
    <mergeCell ref="K52:Q56"/>
    <mergeCell ref="B52:H56"/>
  </mergeCells>
  <pageMargins left="0.25" right="0" top="0" bottom="0" header="0.118110236220472" footer="0.196850393700787"/>
  <pageSetup paperSize="10000" scale="82" orientation="portrait" horizontalDpi="4294967293" verticalDpi="18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57"/>
  <sheetViews>
    <sheetView topLeftCell="A28" workbookViewId="0">
      <selection activeCell="M49" sqref="M49"/>
    </sheetView>
  </sheetViews>
  <sheetFormatPr defaultColWidth="8.85546875" defaultRowHeight="13.5" x14ac:dyDescent="0.25"/>
  <cols>
    <col min="1" max="1" width="2" style="2" customWidth="1"/>
    <col min="2" max="2" width="24.5703125" style="2" customWidth="1"/>
    <col min="3" max="3" width="1.85546875" style="2" customWidth="1"/>
    <col min="4" max="4" width="25.85546875" style="2" customWidth="1"/>
    <col min="5" max="5" width="1.85546875" style="2" customWidth="1"/>
    <col min="6" max="6" width="23.7109375" style="2" customWidth="1"/>
    <col min="7" max="7" width="1.85546875" style="2" customWidth="1"/>
    <col min="8" max="8" width="23.7109375" style="2" customWidth="1"/>
    <col min="9" max="9" width="2.85546875" style="2" customWidth="1"/>
    <col min="10" max="10" width="2.5703125" style="2" customWidth="1"/>
    <col min="11" max="11" width="25.7109375" style="2" customWidth="1"/>
    <col min="12" max="12" width="2" style="2" customWidth="1"/>
    <col min="13" max="13" width="25.28515625" style="2" customWidth="1"/>
    <col min="14" max="14" width="1.5703125" style="2" customWidth="1"/>
    <col min="15" max="15" width="24.28515625" style="2" customWidth="1"/>
    <col min="16" max="16" width="1.7109375" style="2" customWidth="1"/>
    <col min="17" max="17" width="24.7109375" style="2" customWidth="1"/>
    <col min="18" max="18" width="3" style="2" customWidth="1"/>
    <col min="19" max="16384" width="8.85546875" style="2"/>
  </cols>
  <sheetData>
    <row r="1" spans="1:18" ht="18" x14ac:dyDescent="0.25">
      <c r="A1" s="354"/>
      <c r="B1" s="861" t="s">
        <v>612</v>
      </c>
      <c r="C1" s="861"/>
      <c r="D1" s="861"/>
      <c r="E1" s="861"/>
      <c r="F1" s="861"/>
      <c r="G1" s="861"/>
      <c r="H1" s="861"/>
      <c r="I1" s="266"/>
      <c r="J1" s="354"/>
      <c r="K1" s="861" t="s">
        <v>612</v>
      </c>
      <c r="L1" s="861"/>
      <c r="M1" s="861"/>
      <c r="N1" s="861"/>
      <c r="O1" s="861"/>
      <c r="P1" s="861"/>
      <c r="Q1" s="861"/>
      <c r="R1" s="266"/>
    </row>
    <row r="2" spans="1:18" ht="18" x14ac:dyDescent="0.25">
      <c r="A2" s="264"/>
      <c r="B2" s="835" t="s">
        <v>84</v>
      </c>
      <c r="C2" s="835"/>
      <c r="D2" s="835"/>
      <c r="E2" s="835"/>
      <c r="F2" s="835"/>
      <c r="G2" s="835"/>
      <c r="H2" s="835"/>
      <c r="I2" s="263"/>
      <c r="J2" s="264"/>
      <c r="K2" s="835" t="s">
        <v>84</v>
      </c>
      <c r="L2" s="835"/>
      <c r="M2" s="835"/>
      <c r="N2" s="835"/>
      <c r="O2" s="835"/>
      <c r="P2" s="835"/>
      <c r="Q2" s="835"/>
      <c r="R2" s="263"/>
    </row>
    <row r="3" spans="1:18" x14ac:dyDescent="0.25">
      <c r="A3" s="264"/>
      <c r="B3" s="11"/>
      <c r="C3" s="11"/>
      <c r="D3" s="11"/>
      <c r="E3" s="11"/>
      <c r="F3" s="11"/>
      <c r="G3" s="11"/>
      <c r="H3" s="11"/>
      <c r="I3" s="263"/>
      <c r="J3" s="264"/>
      <c r="K3" s="11"/>
      <c r="L3" s="11"/>
      <c r="M3" s="11"/>
      <c r="N3" s="11"/>
      <c r="O3" s="11"/>
      <c r="P3" s="11"/>
      <c r="Q3" s="11"/>
      <c r="R3" s="263"/>
    </row>
    <row r="4" spans="1:18" x14ac:dyDescent="0.25">
      <c r="A4" s="264"/>
      <c r="B4" s="44" t="s">
        <v>16</v>
      </c>
      <c r="C4" s="44" t="s">
        <v>63</v>
      </c>
      <c r="D4" s="162" t="str">
        <f>M4</f>
        <v>DYAH RETNO SULISTYOWATI</v>
      </c>
      <c r="E4" s="4"/>
      <c r="F4" s="5"/>
      <c r="G4" s="11"/>
      <c r="H4" s="11"/>
      <c r="I4" s="263"/>
      <c r="J4" s="264"/>
      <c r="K4" s="44" t="s">
        <v>16</v>
      </c>
      <c r="L4" s="44" t="s">
        <v>63</v>
      </c>
      <c r="M4" s="162" t="str">
        <f>'DATA AWAL NASABAH'!B2</f>
        <v>DYAH RETNO SULISTYOWATI</v>
      </c>
      <c r="N4" s="4"/>
      <c r="O4" s="5"/>
      <c r="P4" s="11"/>
      <c r="Q4" s="11"/>
      <c r="R4" s="263"/>
    </row>
    <row r="5" spans="1:18" x14ac:dyDescent="0.25">
      <c r="A5" s="264"/>
      <c r="B5" s="44" t="s">
        <v>17</v>
      </c>
      <c r="C5" s="44" t="s">
        <v>63</v>
      </c>
      <c r="D5" s="177" t="str">
        <f>M5</f>
        <v>0811261088</v>
      </c>
      <c r="E5" s="6"/>
      <c r="F5" s="7"/>
      <c r="G5" s="11"/>
      <c r="H5" s="11"/>
      <c r="I5" s="263"/>
      <c r="J5" s="264"/>
      <c r="K5" s="44" t="s">
        <v>17</v>
      </c>
      <c r="L5" s="44" t="s">
        <v>63</v>
      </c>
      <c r="M5" s="177" t="str">
        <f>'DATA AWAL NASABAH'!B15</f>
        <v>0811261088</v>
      </c>
      <c r="N5" s="6"/>
      <c r="O5" s="7"/>
      <c r="P5" s="11"/>
      <c r="Q5" s="11"/>
      <c r="R5" s="263"/>
    </row>
    <row r="6" spans="1:18" x14ac:dyDescent="0.25">
      <c r="A6" s="264"/>
      <c r="B6" s="319" t="s">
        <v>18</v>
      </c>
      <c r="C6" s="44" t="s">
        <v>63</v>
      </c>
      <c r="D6" s="228">
        <f>M6</f>
        <v>45986</v>
      </c>
      <c r="E6" s="10"/>
      <c r="F6" s="7"/>
      <c r="G6" s="11"/>
      <c r="H6" s="11"/>
      <c r="I6" s="263"/>
      <c r="J6" s="264"/>
      <c r="K6" s="319" t="s">
        <v>18</v>
      </c>
      <c r="L6" s="44" t="s">
        <v>63</v>
      </c>
      <c r="M6" s="228">
        <f>'DATA AWAL NASABAH'!B1</f>
        <v>45986</v>
      </c>
      <c r="N6" s="10"/>
      <c r="O6" s="7"/>
      <c r="P6" s="11"/>
      <c r="Q6" s="11"/>
      <c r="R6" s="263"/>
    </row>
    <row r="7" spans="1:18" ht="10.15" customHeight="1" x14ac:dyDescent="0.25">
      <c r="A7" s="264"/>
      <c r="B7" s="11"/>
      <c r="C7" s="11"/>
      <c r="D7" s="11"/>
      <c r="E7" s="11"/>
      <c r="F7" s="11"/>
      <c r="G7" s="11"/>
      <c r="H7" s="11"/>
      <c r="I7" s="263"/>
      <c r="J7" s="264"/>
      <c r="K7" s="11"/>
      <c r="L7" s="11"/>
      <c r="M7" s="11"/>
      <c r="N7" s="11"/>
      <c r="O7" s="11"/>
      <c r="P7" s="11"/>
      <c r="Q7" s="11"/>
      <c r="R7" s="263"/>
    </row>
    <row r="8" spans="1:18" x14ac:dyDescent="0.25">
      <c r="A8" s="264"/>
      <c r="B8" s="12" t="s">
        <v>93</v>
      </c>
      <c r="C8" s="13"/>
      <c r="D8" s="13"/>
      <c r="E8" s="13"/>
      <c r="F8" s="13"/>
      <c r="G8" s="13"/>
      <c r="H8" s="11"/>
      <c r="I8" s="263"/>
      <c r="J8" s="264"/>
      <c r="K8" s="12" t="s">
        <v>93</v>
      </c>
      <c r="L8" s="13"/>
      <c r="M8" s="13"/>
      <c r="N8" s="13"/>
      <c r="O8" s="13"/>
      <c r="P8" s="13"/>
      <c r="Q8" s="11"/>
      <c r="R8" s="263"/>
    </row>
    <row r="9" spans="1:18" x14ac:dyDescent="0.25">
      <c r="A9" s="264"/>
      <c r="B9" s="13" t="s">
        <v>85</v>
      </c>
      <c r="C9" s="44" t="s">
        <v>63</v>
      </c>
      <c r="D9" s="14"/>
      <c r="E9" s="13"/>
      <c r="F9" s="13" t="s">
        <v>90</v>
      </c>
      <c r="G9" s="44" t="s">
        <v>63</v>
      </c>
      <c r="H9" s="14" t="str">
        <f>D4</f>
        <v>DYAH RETNO SULISTYOWATI</v>
      </c>
      <c r="I9" s="263"/>
      <c r="J9" s="264"/>
      <c r="K9" s="13" t="s">
        <v>85</v>
      </c>
      <c r="L9" s="44" t="s">
        <v>63</v>
      </c>
      <c r="M9" s="14" t="s">
        <v>527</v>
      </c>
      <c r="N9" s="13"/>
      <c r="O9" s="13" t="s">
        <v>90</v>
      </c>
      <c r="P9" s="44" t="s">
        <v>63</v>
      </c>
      <c r="Q9" s="14" t="str">
        <f>M4</f>
        <v>DYAH RETNO SULISTYOWATI</v>
      </c>
      <c r="R9" s="263"/>
    </row>
    <row r="10" spans="1:18" x14ac:dyDescent="0.25">
      <c r="A10" s="264"/>
      <c r="B10" s="13" t="s">
        <v>86</v>
      </c>
      <c r="C10" s="44" t="s">
        <v>63</v>
      </c>
      <c r="D10" s="14"/>
      <c r="E10" s="13"/>
      <c r="F10" s="13" t="s">
        <v>91</v>
      </c>
      <c r="G10" s="44" t="s">
        <v>63</v>
      </c>
      <c r="H10" s="14" t="str">
        <f>Q10</f>
        <v>JARAKSARI WONOSOBO</v>
      </c>
      <c r="I10" s="263"/>
      <c r="J10" s="264"/>
      <c r="K10" s="13" t="s">
        <v>86</v>
      </c>
      <c r="L10" s="44" t="s">
        <v>63</v>
      </c>
      <c r="M10" s="14"/>
      <c r="N10" s="13"/>
      <c r="O10" s="13" t="s">
        <v>91</v>
      </c>
      <c r="P10" s="44" t="s">
        <v>63</v>
      </c>
      <c r="Q10" s="14" t="str">
        <f>""&amp;Q12&amp;" "&amp;Q13</f>
        <v>JARAKSARI WONOSOBO</v>
      </c>
      <c r="R10" s="263"/>
    </row>
    <row r="11" spans="1:18" x14ac:dyDescent="0.25">
      <c r="A11" s="264"/>
      <c r="B11" s="13" t="s">
        <v>87</v>
      </c>
      <c r="C11" s="44" t="s">
        <v>63</v>
      </c>
      <c r="D11" s="14"/>
      <c r="E11" s="13"/>
      <c r="F11" s="13" t="s">
        <v>87</v>
      </c>
      <c r="G11" s="44" t="s">
        <v>63</v>
      </c>
      <c r="H11" s="14" t="str">
        <f>Q11</f>
        <v>TOSARI REJO</v>
      </c>
      <c r="I11" s="263"/>
      <c r="J11" s="264"/>
      <c r="K11" s="13" t="s">
        <v>87</v>
      </c>
      <c r="L11" s="44" t="s">
        <v>63</v>
      </c>
      <c r="M11" s="14"/>
      <c r="N11" s="13"/>
      <c r="O11" s="13" t="s">
        <v>87</v>
      </c>
      <c r="P11" s="44" t="s">
        <v>63</v>
      </c>
      <c r="Q11" s="14" t="str">
        <f>'DATA AWAL NASABAH'!B11</f>
        <v>TOSARI REJO</v>
      </c>
      <c r="R11" s="263"/>
    </row>
    <row r="12" spans="1:18" x14ac:dyDescent="0.25">
      <c r="A12" s="264"/>
      <c r="B12" s="13" t="s">
        <v>88</v>
      </c>
      <c r="C12" s="44" t="s">
        <v>63</v>
      </c>
      <c r="D12" s="14"/>
      <c r="E12" s="13"/>
      <c r="F12" s="13" t="s">
        <v>88</v>
      </c>
      <c r="G12" s="44" t="s">
        <v>63</v>
      </c>
      <c r="H12" s="14" t="str">
        <f>Q12</f>
        <v>JARAKSARI</v>
      </c>
      <c r="I12" s="263"/>
      <c r="J12" s="264"/>
      <c r="K12" s="13" t="s">
        <v>88</v>
      </c>
      <c r="L12" s="44" t="s">
        <v>63</v>
      </c>
      <c r="M12" s="14"/>
      <c r="N12" s="13"/>
      <c r="O12" s="13" t="s">
        <v>88</v>
      </c>
      <c r="P12" s="44" t="s">
        <v>63</v>
      </c>
      <c r="Q12" s="14" t="str">
        <f>'DATA AWAL NASABAH'!B12</f>
        <v>JARAKSARI</v>
      </c>
      <c r="R12" s="263"/>
    </row>
    <row r="13" spans="1:18" x14ac:dyDescent="0.25">
      <c r="A13" s="264"/>
      <c r="B13" s="11" t="s">
        <v>22</v>
      </c>
      <c r="C13" s="44" t="s">
        <v>63</v>
      </c>
      <c r="D13" s="14"/>
      <c r="E13" s="13"/>
      <c r="F13" s="11" t="s">
        <v>22</v>
      </c>
      <c r="G13" s="44" t="s">
        <v>63</v>
      </c>
      <c r="H13" s="14" t="str">
        <f>Q13</f>
        <v>WONOSOBO</v>
      </c>
      <c r="I13" s="263"/>
      <c r="J13" s="264"/>
      <c r="K13" s="11" t="s">
        <v>22</v>
      </c>
      <c r="L13" s="44" t="s">
        <v>63</v>
      </c>
      <c r="M13" s="14"/>
      <c r="N13" s="13"/>
      <c r="O13" s="11" t="s">
        <v>22</v>
      </c>
      <c r="P13" s="44" t="s">
        <v>63</v>
      </c>
      <c r="Q13" s="14" t="str">
        <f>'DATA AWAL NASABAH'!B13</f>
        <v>WONOSOBO</v>
      </c>
      <c r="R13" s="263"/>
    </row>
    <row r="14" spans="1:18" x14ac:dyDescent="0.25">
      <c r="A14" s="264"/>
      <c r="B14" s="13" t="s">
        <v>21</v>
      </c>
      <c r="C14" s="44" t="s">
        <v>63</v>
      </c>
      <c r="D14" s="14"/>
      <c r="E14" s="13"/>
      <c r="F14" s="13" t="s">
        <v>21</v>
      </c>
      <c r="G14" s="44" t="s">
        <v>63</v>
      </c>
      <c r="H14" s="14" t="s">
        <v>484</v>
      </c>
      <c r="I14" s="263"/>
      <c r="J14" s="264"/>
      <c r="K14" s="13" t="s">
        <v>21</v>
      </c>
      <c r="L14" s="44" t="s">
        <v>63</v>
      </c>
      <c r="M14" s="14" t="s">
        <v>484</v>
      </c>
      <c r="N14" s="13"/>
      <c r="O14" s="13" t="s">
        <v>21</v>
      </c>
      <c r="P14" s="44" t="s">
        <v>63</v>
      </c>
      <c r="Q14" s="14" t="str">
        <f>'DATA AWAL NASABAH'!B14</f>
        <v>WONOSOBO</v>
      </c>
      <c r="R14" s="263"/>
    </row>
    <row r="15" spans="1:18" x14ac:dyDescent="0.25">
      <c r="A15" s="264"/>
      <c r="B15" s="13" t="s">
        <v>89</v>
      </c>
      <c r="C15" s="44" t="s">
        <v>63</v>
      </c>
      <c r="D15" s="14"/>
      <c r="E15" s="13"/>
      <c r="F15" s="13" t="s">
        <v>89</v>
      </c>
      <c r="G15" s="44" t="s">
        <v>63</v>
      </c>
      <c r="H15" s="14" t="s">
        <v>484</v>
      </c>
      <c r="I15" s="263"/>
      <c r="J15" s="264"/>
      <c r="K15" s="13" t="s">
        <v>89</v>
      </c>
      <c r="L15" s="44" t="s">
        <v>63</v>
      </c>
      <c r="M15" s="14" t="s">
        <v>484</v>
      </c>
      <c r="N15" s="13"/>
      <c r="O15" s="13" t="s">
        <v>89</v>
      </c>
      <c r="P15" s="44" t="s">
        <v>63</v>
      </c>
      <c r="Q15" s="14" t="s">
        <v>484</v>
      </c>
      <c r="R15" s="263"/>
    </row>
    <row r="16" spans="1:18" x14ac:dyDescent="0.25">
      <c r="A16" s="264"/>
      <c r="B16" s="13" t="s">
        <v>92</v>
      </c>
      <c r="C16" s="13"/>
      <c r="D16" s="13"/>
      <c r="E16" s="13"/>
      <c r="F16" s="13"/>
      <c r="G16" s="13" t="s">
        <v>63</v>
      </c>
      <c r="H16" s="7" t="s">
        <v>251</v>
      </c>
      <c r="I16" s="263"/>
      <c r="J16" s="264"/>
      <c r="K16" s="13" t="s">
        <v>92</v>
      </c>
      <c r="L16" s="13"/>
      <c r="M16" s="13"/>
      <c r="N16" s="13"/>
      <c r="O16" s="13"/>
      <c r="P16" s="13" t="s">
        <v>63</v>
      </c>
      <c r="Q16" s="7" t="s">
        <v>251</v>
      </c>
      <c r="R16" s="263"/>
    </row>
    <row r="17" spans="1:18" ht="10.15" customHeight="1" x14ac:dyDescent="0.25">
      <c r="A17" s="264"/>
      <c r="B17" s="13"/>
      <c r="C17" s="13"/>
      <c r="D17" s="13"/>
      <c r="E17" s="13"/>
      <c r="F17" s="13"/>
      <c r="G17" s="13"/>
      <c r="H17" s="11"/>
      <c r="I17" s="263"/>
      <c r="J17" s="264"/>
      <c r="K17" s="13"/>
      <c r="L17" s="13"/>
      <c r="M17" s="13"/>
      <c r="N17" s="13"/>
      <c r="O17" s="13"/>
      <c r="P17" s="13"/>
      <c r="Q17" s="11"/>
      <c r="R17" s="263"/>
    </row>
    <row r="18" spans="1:18" x14ac:dyDescent="0.25">
      <c r="A18" s="264"/>
      <c r="B18" s="12" t="s">
        <v>94</v>
      </c>
      <c r="C18" s="13"/>
      <c r="D18" s="13"/>
      <c r="E18" s="13"/>
      <c r="F18" s="13"/>
      <c r="G18" s="13"/>
      <c r="H18" s="11"/>
      <c r="I18" s="263"/>
      <c r="J18" s="264"/>
      <c r="K18" s="12" t="s">
        <v>94</v>
      </c>
      <c r="L18" s="13"/>
      <c r="M18" s="13"/>
      <c r="N18" s="13"/>
      <c r="O18" s="13"/>
      <c r="P18" s="13"/>
      <c r="Q18" s="11"/>
      <c r="R18" s="263"/>
    </row>
    <row r="19" spans="1:18" x14ac:dyDescent="0.25">
      <c r="A19" s="264"/>
      <c r="B19" s="13" t="s">
        <v>72</v>
      </c>
      <c r="C19" s="11" t="s">
        <v>63</v>
      </c>
      <c r="D19" s="5"/>
      <c r="E19" s="13"/>
      <c r="F19" s="13" t="s">
        <v>78</v>
      </c>
      <c r="G19" s="11" t="s">
        <v>63</v>
      </c>
      <c r="H19" s="5"/>
      <c r="I19" s="263"/>
      <c r="J19" s="264"/>
      <c r="K19" s="13" t="s">
        <v>72</v>
      </c>
      <c r="L19" s="11" t="s">
        <v>63</v>
      </c>
      <c r="M19" s="5" t="s">
        <v>528</v>
      </c>
      <c r="N19" s="13"/>
      <c r="O19" s="13" t="s">
        <v>78</v>
      </c>
      <c r="P19" s="11" t="s">
        <v>63</v>
      </c>
      <c r="Q19" s="5" t="s">
        <v>532</v>
      </c>
      <c r="R19" s="263"/>
    </row>
    <row r="20" spans="1:18" ht="14.25" x14ac:dyDescent="0.3">
      <c r="A20" s="264"/>
      <c r="B20" s="13" t="s">
        <v>73</v>
      </c>
      <c r="C20" s="11" t="s">
        <v>63</v>
      </c>
      <c r="D20" s="401"/>
      <c r="E20" s="13"/>
      <c r="F20" s="13" t="s">
        <v>79</v>
      </c>
      <c r="G20" s="11" t="s">
        <v>63</v>
      </c>
      <c r="H20" s="5"/>
      <c r="I20" s="263"/>
      <c r="J20" s="264"/>
      <c r="K20" s="13" t="s">
        <v>73</v>
      </c>
      <c r="L20" s="11" t="s">
        <v>63</v>
      </c>
      <c r="M20" s="401" t="s">
        <v>529</v>
      </c>
      <c r="N20" s="13"/>
      <c r="O20" s="13" t="s">
        <v>79</v>
      </c>
      <c r="P20" s="11" t="s">
        <v>63</v>
      </c>
      <c r="Q20" s="5" t="s">
        <v>533</v>
      </c>
      <c r="R20" s="263"/>
    </row>
    <row r="21" spans="1:18" x14ac:dyDescent="0.25">
      <c r="A21" s="264"/>
      <c r="B21" s="13" t="s">
        <v>74</v>
      </c>
      <c r="C21" s="11" t="s">
        <v>63</v>
      </c>
      <c r="D21" s="5"/>
      <c r="E21" s="13"/>
      <c r="F21" s="13" t="s">
        <v>80</v>
      </c>
      <c r="G21" s="11" t="s">
        <v>63</v>
      </c>
      <c r="H21" s="5"/>
      <c r="I21" s="263"/>
      <c r="J21" s="264"/>
      <c r="K21" s="13" t="s">
        <v>74</v>
      </c>
      <c r="L21" s="11" t="s">
        <v>63</v>
      </c>
      <c r="M21" s="5" t="s">
        <v>530</v>
      </c>
      <c r="N21" s="13"/>
      <c r="O21" s="13" t="s">
        <v>80</v>
      </c>
      <c r="P21" s="11" t="s">
        <v>63</v>
      </c>
      <c r="Q21" s="5" t="s">
        <v>534</v>
      </c>
      <c r="R21" s="263"/>
    </row>
    <row r="22" spans="1:18" x14ac:dyDescent="0.25">
      <c r="A22" s="264"/>
      <c r="B22" s="13" t="s">
        <v>75</v>
      </c>
      <c r="C22" s="11" t="s">
        <v>63</v>
      </c>
      <c r="D22" s="5"/>
      <c r="E22" s="13"/>
      <c r="F22" s="13" t="s">
        <v>81</v>
      </c>
      <c r="G22" s="11" t="s">
        <v>63</v>
      </c>
      <c r="H22" s="674"/>
      <c r="I22" s="263"/>
      <c r="J22" s="264"/>
      <c r="K22" s="13" t="s">
        <v>75</v>
      </c>
      <c r="L22" s="11" t="s">
        <v>63</v>
      </c>
      <c r="M22" s="5" t="s">
        <v>531</v>
      </c>
      <c r="N22" s="13"/>
      <c r="O22" s="13" t="s">
        <v>81</v>
      </c>
      <c r="P22" s="11" t="s">
        <v>63</v>
      </c>
      <c r="Q22" s="674">
        <v>45245</v>
      </c>
      <c r="R22" s="263"/>
    </row>
    <row r="23" spans="1:18" x14ac:dyDescent="0.25">
      <c r="A23" s="264"/>
      <c r="B23" s="13" t="s">
        <v>76</v>
      </c>
      <c r="C23" s="11" t="s">
        <v>63</v>
      </c>
      <c r="D23" s="5"/>
      <c r="E23" s="13"/>
      <c r="F23" s="13" t="s">
        <v>82</v>
      </c>
      <c r="G23" s="11" t="s">
        <v>63</v>
      </c>
      <c r="H23" s="5"/>
      <c r="I23" s="263"/>
      <c r="J23" s="264"/>
      <c r="K23" s="13" t="s">
        <v>76</v>
      </c>
      <c r="L23" s="11" t="s">
        <v>63</v>
      </c>
      <c r="M23" s="5" t="str">
        <f>M9</f>
        <v>CITRA PERMATASARI</v>
      </c>
      <c r="N23" s="13"/>
      <c r="O23" s="13" t="s">
        <v>82</v>
      </c>
      <c r="P23" s="11" t="s">
        <v>63</v>
      </c>
      <c r="Q23" s="5" t="s">
        <v>535</v>
      </c>
      <c r="R23" s="263"/>
    </row>
    <row r="24" spans="1:18" x14ac:dyDescent="0.25">
      <c r="A24" s="264"/>
      <c r="B24" s="15" t="s">
        <v>77</v>
      </c>
      <c r="C24" s="11" t="s">
        <v>63</v>
      </c>
      <c r="D24" s="5"/>
      <c r="E24" s="15"/>
      <c r="F24" s="13" t="s">
        <v>83</v>
      </c>
      <c r="G24" s="11" t="s">
        <v>63</v>
      </c>
      <c r="H24" s="5"/>
      <c r="I24" s="263"/>
      <c r="J24" s="264"/>
      <c r="K24" s="15" t="s">
        <v>77</v>
      </c>
      <c r="L24" s="11" t="s">
        <v>63</v>
      </c>
      <c r="M24" s="5">
        <f>M10</f>
        <v>0</v>
      </c>
      <c r="N24" s="15"/>
      <c r="O24" s="13" t="s">
        <v>83</v>
      </c>
      <c r="P24" s="11" t="s">
        <v>63</v>
      </c>
      <c r="Q24" s="5" t="s">
        <v>251</v>
      </c>
      <c r="R24" s="263"/>
    </row>
    <row r="25" spans="1:18" ht="10.15" customHeight="1" x14ac:dyDescent="0.25">
      <c r="A25" s="264"/>
      <c r="B25" s="13"/>
      <c r="C25" s="13"/>
      <c r="D25" s="11"/>
      <c r="E25" s="15"/>
      <c r="F25" s="15"/>
      <c r="G25" s="15"/>
      <c r="H25" s="11"/>
      <c r="I25" s="263"/>
      <c r="J25" s="264"/>
      <c r="K25" s="13"/>
      <c r="L25" s="13"/>
      <c r="M25" s="11"/>
      <c r="N25" s="15"/>
      <c r="O25" s="15"/>
      <c r="P25" s="15"/>
      <c r="Q25" s="11"/>
      <c r="R25" s="263"/>
    </row>
    <row r="26" spans="1:18" x14ac:dyDescent="0.25">
      <c r="A26" s="264"/>
      <c r="B26" s="16" t="s">
        <v>95</v>
      </c>
      <c r="C26" s="11" t="s">
        <v>63</v>
      </c>
      <c r="D26" s="355">
        <f>D6</f>
        <v>45986</v>
      </c>
      <c r="E26" s="13"/>
      <c r="F26" s="13"/>
      <c r="G26" s="13"/>
      <c r="H26" s="11"/>
      <c r="I26" s="263"/>
      <c r="J26" s="264"/>
      <c r="K26" s="16" t="s">
        <v>95</v>
      </c>
      <c r="L26" s="11" t="s">
        <v>63</v>
      </c>
      <c r="M26" s="355">
        <f>M6</f>
        <v>45986</v>
      </c>
      <c r="N26" s="13"/>
      <c r="O26" s="13"/>
      <c r="P26" s="13"/>
      <c r="Q26" s="11"/>
      <c r="R26" s="263"/>
    </row>
    <row r="27" spans="1:18" x14ac:dyDescent="0.25">
      <c r="A27" s="264"/>
      <c r="B27" s="16" t="s">
        <v>96</v>
      </c>
      <c r="C27" s="13"/>
      <c r="D27" s="11"/>
      <c r="E27" s="13"/>
      <c r="F27" s="13"/>
      <c r="G27" s="13"/>
      <c r="H27" s="11"/>
      <c r="I27" s="263"/>
      <c r="J27" s="264"/>
      <c r="K27" s="16" t="s">
        <v>96</v>
      </c>
      <c r="L27" s="13"/>
      <c r="M27" s="11"/>
      <c r="N27" s="13"/>
      <c r="O27" s="13"/>
      <c r="P27" s="13"/>
      <c r="Q27" s="11"/>
      <c r="R27" s="263"/>
    </row>
    <row r="28" spans="1:18" ht="58.9" customHeight="1" x14ac:dyDescent="0.25">
      <c r="A28" s="264"/>
      <c r="B28" s="862"/>
      <c r="C28" s="863"/>
      <c r="D28" s="863"/>
      <c r="E28" s="863"/>
      <c r="F28" s="863"/>
      <c r="G28" s="863"/>
      <c r="H28" s="864"/>
      <c r="I28" s="263"/>
      <c r="J28" s="264"/>
      <c r="K28" s="862"/>
      <c r="L28" s="863"/>
      <c r="M28" s="863"/>
      <c r="N28" s="863"/>
      <c r="O28" s="863"/>
      <c r="P28" s="863"/>
      <c r="Q28" s="864"/>
      <c r="R28" s="263"/>
    </row>
    <row r="29" spans="1:18" x14ac:dyDescent="0.25">
      <c r="A29" s="264"/>
      <c r="B29" s="17" t="s">
        <v>97</v>
      </c>
      <c r="C29" s="13"/>
      <c r="D29" s="11"/>
      <c r="E29" s="18"/>
      <c r="F29" s="18"/>
      <c r="G29" s="18"/>
      <c r="H29" s="11"/>
      <c r="I29" s="263"/>
      <c r="J29" s="264"/>
      <c r="K29" s="17" t="s">
        <v>97</v>
      </c>
      <c r="L29" s="13"/>
      <c r="M29" s="11"/>
      <c r="N29" s="18"/>
      <c r="O29" s="18"/>
      <c r="P29" s="18"/>
      <c r="Q29" s="11"/>
      <c r="R29" s="263"/>
    </row>
    <row r="30" spans="1:18" ht="58.9" customHeight="1" x14ac:dyDescent="0.25">
      <c r="A30" s="264"/>
      <c r="B30" s="862"/>
      <c r="C30" s="863"/>
      <c r="D30" s="863"/>
      <c r="E30" s="863"/>
      <c r="F30" s="863"/>
      <c r="G30" s="863"/>
      <c r="H30" s="864"/>
      <c r="I30" s="263"/>
      <c r="J30" s="264"/>
      <c r="K30" s="862"/>
      <c r="L30" s="863"/>
      <c r="M30" s="863"/>
      <c r="N30" s="863"/>
      <c r="O30" s="863"/>
      <c r="P30" s="863"/>
      <c r="Q30" s="864"/>
      <c r="R30" s="263"/>
    </row>
    <row r="31" spans="1:18" ht="19.5" customHeight="1" x14ac:dyDescent="0.25">
      <c r="A31" s="264"/>
      <c r="B31" s="32"/>
      <c r="C31" s="32"/>
      <c r="D31" s="32" t="s">
        <v>508</v>
      </c>
      <c r="E31" s="32"/>
      <c r="F31" s="32"/>
      <c r="G31" s="32"/>
      <c r="H31" s="32"/>
      <c r="I31" s="263"/>
      <c r="J31" s="264"/>
      <c r="K31" s="32"/>
      <c r="L31" s="32"/>
      <c r="M31" s="32" t="s">
        <v>508</v>
      </c>
      <c r="N31" s="32"/>
      <c r="O31" s="32"/>
      <c r="P31" s="32"/>
      <c r="Q31" s="32"/>
      <c r="R31" s="263"/>
    </row>
    <row r="32" spans="1:18" s="21" customFormat="1" ht="13.9" customHeight="1" x14ac:dyDescent="0.25">
      <c r="A32" s="356"/>
      <c r="B32" s="19" t="s">
        <v>514</v>
      </c>
      <c r="C32" s="20" t="s">
        <v>63</v>
      </c>
      <c r="D32" s="232">
        <v>115000000</v>
      </c>
      <c r="E32" s="19"/>
      <c r="F32" s="593" t="s">
        <v>558</v>
      </c>
      <c r="G32" s="19"/>
      <c r="H32" s="19"/>
      <c r="I32" s="357"/>
      <c r="J32" s="356"/>
      <c r="K32" s="19" t="s">
        <v>514</v>
      </c>
      <c r="L32" s="20" t="s">
        <v>63</v>
      </c>
      <c r="M32" s="232">
        <v>8500000</v>
      </c>
      <c r="N32" s="19">
        <v>1</v>
      </c>
      <c r="O32" s="593" t="s">
        <v>558</v>
      </c>
      <c r="P32" s="19"/>
      <c r="Q32" s="19"/>
      <c r="R32" s="357"/>
    </row>
    <row r="33" spans="1:18" s="21" customFormat="1" ht="13.9" customHeight="1" x14ac:dyDescent="0.25">
      <c r="A33" s="356"/>
      <c r="B33" s="19" t="s">
        <v>515</v>
      </c>
      <c r="C33" s="20" t="s">
        <v>63</v>
      </c>
      <c r="D33" s="233">
        <f>D32*70%</f>
        <v>80500000</v>
      </c>
      <c r="E33" s="19"/>
      <c r="F33" s="594" t="s">
        <v>559</v>
      </c>
      <c r="I33" s="357"/>
      <c r="J33" s="356"/>
      <c r="K33" s="19" t="s">
        <v>515</v>
      </c>
      <c r="L33" s="20" t="s">
        <v>63</v>
      </c>
      <c r="M33" s="233">
        <f>M32*70%</f>
        <v>5950000</v>
      </c>
      <c r="N33" s="19">
        <v>2</v>
      </c>
      <c r="O33" s="594" t="s">
        <v>559</v>
      </c>
      <c r="R33" s="357"/>
    </row>
    <row r="34" spans="1:18" s="21" customFormat="1" ht="13.9" customHeight="1" x14ac:dyDescent="0.25">
      <c r="A34" s="356"/>
      <c r="B34" s="19"/>
      <c r="C34" s="20"/>
      <c r="D34" s="233"/>
      <c r="E34" s="19"/>
      <c r="F34" s="19" t="s">
        <v>513</v>
      </c>
      <c r="G34" s="19" t="s">
        <v>449</v>
      </c>
      <c r="H34" s="19" t="s">
        <v>516</v>
      </c>
      <c r="I34" s="357"/>
      <c r="J34" s="356"/>
      <c r="K34" s="19"/>
      <c r="L34" s="20"/>
      <c r="M34" s="233"/>
      <c r="N34" s="19"/>
      <c r="O34" s="19" t="s">
        <v>513</v>
      </c>
      <c r="P34" s="19" t="s">
        <v>449</v>
      </c>
      <c r="Q34" s="19" t="s">
        <v>516</v>
      </c>
      <c r="R34" s="357"/>
    </row>
    <row r="35" spans="1:18" s="21" customFormat="1" x14ac:dyDescent="0.25">
      <c r="A35" s="356"/>
      <c r="B35" s="20"/>
      <c r="C35" s="20"/>
      <c r="D35" s="19"/>
      <c r="E35" s="19"/>
      <c r="F35" s="592" t="s">
        <v>557</v>
      </c>
      <c r="G35" s="19" t="s">
        <v>449</v>
      </c>
      <c r="H35" s="19" t="s">
        <v>516</v>
      </c>
      <c r="I35" s="358"/>
      <c r="J35" s="356"/>
      <c r="K35" s="20"/>
      <c r="L35" s="20"/>
      <c r="M35" s="19"/>
      <c r="N35" s="19">
        <v>3</v>
      </c>
      <c r="O35" s="592" t="s">
        <v>557</v>
      </c>
      <c r="P35" s="19" t="s">
        <v>449</v>
      </c>
      <c r="Q35" s="19" t="s">
        <v>516</v>
      </c>
      <c r="R35" s="358"/>
    </row>
    <row r="36" spans="1:18" x14ac:dyDescent="0.25">
      <c r="A36" s="264"/>
      <c r="B36" s="17" t="s">
        <v>124</v>
      </c>
      <c r="C36" s="13"/>
      <c r="D36" s="11"/>
      <c r="E36" s="18"/>
      <c r="F36" s="18"/>
      <c r="G36" s="18"/>
      <c r="H36" s="11"/>
      <c r="I36" s="263"/>
      <c r="J36" s="264"/>
      <c r="K36" s="17" t="s">
        <v>124</v>
      </c>
      <c r="L36" s="13"/>
      <c r="M36" s="11"/>
      <c r="N36" s="18"/>
      <c r="O36" s="18"/>
      <c r="P36" s="18"/>
      <c r="Q36" s="11"/>
      <c r="R36" s="263"/>
    </row>
    <row r="37" spans="1:18" ht="42.6" customHeight="1" x14ac:dyDescent="0.25">
      <c r="A37" s="264"/>
      <c r="B37" s="865" t="s">
        <v>560</v>
      </c>
      <c r="C37" s="866"/>
      <c r="D37" s="866"/>
      <c r="E37" s="866"/>
      <c r="F37" s="866"/>
      <c r="G37" s="866"/>
      <c r="H37" s="867"/>
      <c r="I37" s="263"/>
      <c r="J37" s="264"/>
      <c r="K37" s="865" t="s">
        <v>560</v>
      </c>
      <c r="L37" s="866"/>
      <c r="M37" s="866"/>
      <c r="N37" s="866"/>
      <c r="O37" s="866"/>
      <c r="P37" s="866"/>
      <c r="Q37" s="867"/>
      <c r="R37" s="263"/>
    </row>
    <row r="38" spans="1:18" ht="13.15" customHeight="1" x14ac:dyDescent="0.25">
      <c r="A38" s="264"/>
      <c r="B38" s="22"/>
      <c r="C38" s="22"/>
      <c r="D38" s="22"/>
      <c r="E38" s="22"/>
      <c r="F38" s="22"/>
      <c r="G38" s="22"/>
      <c r="H38" s="22"/>
      <c r="I38" s="263"/>
      <c r="J38" s="264"/>
      <c r="K38" s="22"/>
      <c r="L38" s="22"/>
      <c r="M38" s="22"/>
      <c r="N38" s="22"/>
      <c r="O38" s="22"/>
      <c r="P38" s="22"/>
      <c r="Q38" s="22"/>
      <c r="R38" s="263"/>
    </row>
    <row r="39" spans="1:18" s="26" customFormat="1" ht="12.75" x14ac:dyDescent="0.2">
      <c r="A39" s="359"/>
      <c r="B39" s="66" t="s">
        <v>62</v>
      </c>
      <c r="C39" s="66"/>
      <c r="D39" s="66"/>
      <c r="E39" s="66"/>
      <c r="F39" s="66"/>
      <c r="G39" s="334"/>
      <c r="H39" s="335"/>
      <c r="I39" s="360"/>
      <c r="J39" s="359"/>
      <c r="K39" s="66" t="s">
        <v>62</v>
      </c>
      <c r="L39" s="66"/>
      <c r="M39" s="66"/>
      <c r="N39" s="66"/>
      <c r="O39" s="66"/>
      <c r="P39" s="334"/>
      <c r="Q39" s="335"/>
      <c r="R39" s="360"/>
    </row>
    <row r="40" spans="1:18" ht="13.5" customHeight="1" x14ac:dyDescent="0.25">
      <c r="A40" s="361"/>
      <c r="B40" s="843" t="s">
        <v>618</v>
      </c>
      <c r="C40" s="844"/>
      <c r="D40" s="844"/>
      <c r="E40" s="844"/>
      <c r="F40" s="844"/>
      <c r="G40" s="844"/>
      <c r="H40" s="845"/>
      <c r="I40" s="263"/>
      <c r="J40" s="361"/>
      <c r="K40" s="843" t="s">
        <v>617</v>
      </c>
      <c r="L40" s="868"/>
      <c r="M40" s="868"/>
      <c r="N40" s="868"/>
      <c r="O40" s="868"/>
      <c r="P40" s="868"/>
      <c r="Q40" s="869"/>
      <c r="R40" s="263"/>
    </row>
    <row r="41" spans="1:18" x14ac:dyDescent="0.25">
      <c r="A41" s="362"/>
      <c r="B41" s="846"/>
      <c r="C41" s="847"/>
      <c r="D41" s="847"/>
      <c r="E41" s="847"/>
      <c r="F41" s="847"/>
      <c r="G41" s="847"/>
      <c r="H41" s="848"/>
      <c r="I41" s="263"/>
      <c r="J41" s="362"/>
      <c r="K41" s="870"/>
      <c r="L41" s="871"/>
      <c r="M41" s="871"/>
      <c r="N41" s="871"/>
      <c r="O41" s="871"/>
      <c r="P41" s="871"/>
      <c r="Q41" s="872"/>
      <c r="R41" s="263"/>
    </row>
    <row r="42" spans="1:18" x14ac:dyDescent="0.25">
      <c r="A42" s="362"/>
      <c r="B42" s="846"/>
      <c r="C42" s="847"/>
      <c r="D42" s="847"/>
      <c r="E42" s="847"/>
      <c r="F42" s="847"/>
      <c r="G42" s="847"/>
      <c r="H42" s="848"/>
      <c r="I42" s="263"/>
      <c r="J42" s="362"/>
      <c r="K42" s="870"/>
      <c r="L42" s="871"/>
      <c r="M42" s="871"/>
      <c r="N42" s="871"/>
      <c r="O42" s="871"/>
      <c r="P42" s="871"/>
      <c r="Q42" s="872"/>
      <c r="R42" s="263"/>
    </row>
    <row r="43" spans="1:18" ht="28.9" customHeight="1" x14ac:dyDescent="0.25">
      <c r="A43" s="362"/>
      <c r="B43" s="849"/>
      <c r="C43" s="850"/>
      <c r="D43" s="850"/>
      <c r="E43" s="850"/>
      <c r="F43" s="850"/>
      <c r="G43" s="850"/>
      <c r="H43" s="851"/>
      <c r="I43" s="263"/>
      <c r="J43" s="362"/>
      <c r="K43" s="873"/>
      <c r="L43" s="874"/>
      <c r="M43" s="874"/>
      <c r="N43" s="874"/>
      <c r="O43" s="874"/>
      <c r="P43" s="874"/>
      <c r="Q43" s="875"/>
      <c r="R43" s="263"/>
    </row>
    <row r="44" spans="1:18" x14ac:dyDescent="0.25">
      <c r="A44" s="264"/>
      <c r="B44" s="11"/>
      <c r="C44" s="13"/>
      <c r="D44" s="11"/>
      <c r="E44" s="18"/>
      <c r="F44" s="18"/>
      <c r="G44" s="18"/>
      <c r="H44" s="11"/>
      <c r="I44" s="263"/>
      <c r="J44" s="264"/>
      <c r="K44" s="11"/>
      <c r="L44" s="13"/>
      <c r="M44" s="11"/>
      <c r="N44" s="18"/>
      <c r="O44" s="18"/>
      <c r="P44" s="18"/>
      <c r="Q44" s="11"/>
      <c r="R44" s="263"/>
    </row>
    <row r="45" spans="1:18" x14ac:dyDescent="0.25">
      <c r="A45" s="264"/>
      <c r="B45" s="29" t="s">
        <v>2</v>
      </c>
      <c r="C45" s="427"/>
      <c r="D45" s="29" t="s">
        <v>3</v>
      </c>
      <c r="E45" s="427"/>
      <c r="F45" s="31" t="s">
        <v>4</v>
      </c>
      <c r="G45" s="32"/>
      <c r="H45" s="31" t="s">
        <v>4</v>
      </c>
      <c r="I45" s="263"/>
      <c r="J45" s="264"/>
      <c r="K45" s="29" t="s">
        <v>2</v>
      </c>
      <c r="L45" s="385"/>
      <c r="M45" s="29" t="s">
        <v>3</v>
      </c>
      <c r="N45" s="385"/>
      <c r="O45" s="31" t="s">
        <v>4</v>
      </c>
      <c r="P45" s="32"/>
      <c r="Q45" s="31" t="s">
        <v>4</v>
      </c>
      <c r="R45" s="263"/>
    </row>
    <row r="46" spans="1:18" x14ac:dyDescent="0.25">
      <c r="A46" s="264"/>
      <c r="B46" s="29"/>
      <c r="C46" s="427"/>
      <c r="D46" s="29"/>
      <c r="E46" s="427"/>
      <c r="F46" s="33"/>
      <c r="G46" s="32"/>
      <c r="H46" s="33"/>
      <c r="I46" s="263"/>
      <c r="J46" s="264"/>
      <c r="K46" s="29"/>
      <c r="L46" s="385"/>
      <c r="M46" s="29"/>
      <c r="N46" s="385"/>
      <c r="O46" s="33"/>
      <c r="P46" s="32"/>
      <c r="Q46" s="33"/>
      <c r="R46" s="263"/>
    </row>
    <row r="47" spans="1:18" x14ac:dyDescent="0.25">
      <c r="A47" s="264"/>
      <c r="B47" s="33"/>
      <c r="C47" s="427"/>
      <c r="D47" s="33"/>
      <c r="E47" s="427"/>
      <c r="F47" s="33"/>
      <c r="G47" s="32"/>
      <c r="H47" s="33"/>
      <c r="I47" s="263"/>
      <c r="J47" s="264"/>
      <c r="K47" s="33"/>
      <c r="L47" s="385"/>
      <c r="M47" s="33"/>
      <c r="N47" s="385"/>
      <c r="O47" s="33"/>
      <c r="P47" s="32"/>
      <c r="Q47" s="33"/>
      <c r="R47" s="263"/>
    </row>
    <row r="48" spans="1:18" ht="27.75" customHeight="1" x14ac:dyDescent="0.25">
      <c r="A48" s="264"/>
      <c r="B48" s="33"/>
      <c r="C48" s="427"/>
      <c r="D48" s="33"/>
      <c r="E48" s="427"/>
      <c r="F48" s="33"/>
      <c r="G48" s="32"/>
      <c r="H48" s="33"/>
      <c r="I48" s="263"/>
      <c r="J48" s="264"/>
      <c r="K48" s="33"/>
      <c r="L48" s="385"/>
      <c r="M48" s="33"/>
      <c r="N48" s="385"/>
      <c r="O48" s="33"/>
      <c r="P48" s="32"/>
      <c r="Q48" s="33"/>
      <c r="R48" s="263"/>
    </row>
    <row r="49" spans="1:18" x14ac:dyDescent="0.25">
      <c r="A49" s="264"/>
      <c r="B49" s="181" t="str">
        <f>K49</f>
        <v>ADRIAN WAHYU P</v>
      </c>
      <c r="C49" s="427"/>
      <c r="D49" s="181" t="s">
        <v>561</v>
      </c>
      <c r="E49" s="427"/>
      <c r="F49" s="181" t="s">
        <v>570</v>
      </c>
      <c r="G49" s="32"/>
      <c r="H49" s="36" t="s">
        <v>522</v>
      </c>
      <c r="I49" s="263"/>
      <c r="J49" s="264"/>
      <c r="K49" s="181" t="str">
        <f>'DATA AWAL NASABAH'!B30</f>
        <v>ADRIAN WAHYU P</v>
      </c>
      <c r="L49" s="385"/>
      <c r="M49" s="181" t="s">
        <v>561</v>
      </c>
      <c r="N49" s="385"/>
      <c r="O49" s="181" t="s">
        <v>570</v>
      </c>
      <c r="P49" s="32"/>
      <c r="Q49" s="36" t="s">
        <v>522</v>
      </c>
      <c r="R49" s="263"/>
    </row>
    <row r="50" spans="1:18" x14ac:dyDescent="0.25">
      <c r="A50" s="264"/>
      <c r="B50" s="34" t="str">
        <f>K50</f>
        <v>Analis</v>
      </c>
      <c r="C50" s="427"/>
      <c r="D50" s="34" t="str">
        <f>M50</f>
        <v>Kabag. Analis</v>
      </c>
      <c r="E50" s="427"/>
      <c r="F50" s="207" t="s">
        <v>500</v>
      </c>
      <c r="G50" s="32"/>
      <c r="H50" s="36" t="s">
        <v>12</v>
      </c>
      <c r="I50" s="263"/>
      <c r="J50" s="264"/>
      <c r="K50" s="34" t="str">
        <f>'TANAH BANGUNAN'!K63</f>
        <v>Analis</v>
      </c>
      <c r="L50" s="385"/>
      <c r="M50" s="34" t="str">
        <f>'TANAH BANGUNAN'!M63</f>
        <v>Kabag. Analis</v>
      </c>
      <c r="N50" s="385"/>
      <c r="O50" s="207" t="s">
        <v>500</v>
      </c>
      <c r="P50" s="32"/>
      <c r="Q50" s="36" t="s">
        <v>12</v>
      </c>
      <c r="R50" s="263"/>
    </row>
    <row r="51" spans="1:18" x14ac:dyDescent="0.25">
      <c r="A51" s="363"/>
      <c r="B51" s="427"/>
      <c r="C51" s="427"/>
      <c r="D51" s="427"/>
      <c r="E51" s="427"/>
      <c r="F51" s="427"/>
      <c r="G51" s="427"/>
      <c r="H51" s="427"/>
      <c r="I51" s="263"/>
      <c r="J51" s="363"/>
      <c r="K51" s="385"/>
      <c r="L51" s="385"/>
      <c r="M51" s="385"/>
      <c r="N51" s="385"/>
      <c r="O51" s="385"/>
      <c r="P51" s="385"/>
      <c r="Q51" s="385"/>
      <c r="R51" s="263"/>
    </row>
    <row r="52" spans="1:18" ht="14.25" thickBot="1" x14ac:dyDescent="0.3">
      <c r="A52" s="301"/>
      <c r="B52" s="267"/>
      <c r="C52" s="267"/>
      <c r="D52" s="267"/>
      <c r="E52" s="267"/>
      <c r="F52" s="267"/>
      <c r="G52" s="267"/>
      <c r="H52" s="267"/>
      <c r="I52" s="265"/>
      <c r="J52" s="301"/>
      <c r="K52" s="267"/>
      <c r="L52" s="267"/>
      <c r="M52" s="267"/>
      <c r="N52" s="267"/>
      <c r="O52" s="267"/>
      <c r="P52" s="267"/>
      <c r="Q52" s="267"/>
      <c r="R52" s="265"/>
    </row>
    <row r="53" spans="1:18" x14ac:dyDescent="0.25">
      <c r="C53" s="32"/>
      <c r="D53" s="385"/>
      <c r="E53" s="386"/>
      <c r="F53" s="385"/>
      <c r="G53" s="386"/>
      <c r="H53" s="385"/>
      <c r="I53" s="38"/>
    </row>
    <row r="54" spans="1:18" x14ac:dyDescent="0.25">
      <c r="C54" s="32"/>
      <c r="D54" s="385"/>
      <c r="E54" s="386"/>
      <c r="F54" s="385"/>
      <c r="G54" s="386"/>
      <c r="H54" s="385"/>
      <c r="I54" s="38"/>
    </row>
    <row r="55" spans="1:18" ht="30.75" customHeight="1" x14ac:dyDescent="0.25">
      <c r="C55" s="32"/>
      <c r="D55" s="385"/>
      <c r="E55" s="386"/>
      <c r="F55" s="385"/>
      <c r="G55" s="386"/>
      <c r="H55" s="385"/>
      <c r="I55" s="38"/>
    </row>
    <row r="56" spans="1:18" x14ac:dyDescent="0.25">
      <c r="C56" s="12"/>
      <c r="D56" s="385"/>
      <c r="E56" s="386"/>
      <c r="F56" s="385"/>
      <c r="G56" s="386"/>
      <c r="H56" s="385"/>
      <c r="I56" s="44"/>
    </row>
    <row r="57" spans="1:18" x14ac:dyDescent="0.25">
      <c r="C57" s="12"/>
      <c r="D57" s="385"/>
      <c r="E57" s="386"/>
      <c r="F57" s="385"/>
      <c r="G57" s="386"/>
      <c r="H57" s="385"/>
      <c r="I57" s="44"/>
    </row>
  </sheetData>
  <mergeCells count="12">
    <mergeCell ref="K40:Q43"/>
    <mergeCell ref="K1:Q1"/>
    <mergeCell ref="K2:Q2"/>
    <mergeCell ref="K28:Q28"/>
    <mergeCell ref="K30:Q30"/>
    <mergeCell ref="K37:Q37"/>
    <mergeCell ref="B1:H1"/>
    <mergeCell ref="B2:H2"/>
    <mergeCell ref="B40:H43"/>
    <mergeCell ref="B28:H28"/>
    <mergeCell ref="B30:H30"/>
    <mergeCell ref="B37:H37"/>
  </mergeCells>
  <hyperlinks>
    <hyperlink ref="O32" r:id="rId1" xr:uid="{00000000-0004-0000-0600-000000000000}"/>
    <hyperlink ref="O33" r:id="rId2" xr:uid="{00000000-0004-0000-0600-000001000000}"/>
    <hyperlink ref="F32" r:id="rId3" xr:uid="{00000000-0004-0000-0600-000002000000}"/>
    <hyperlink ref="F33" r:id="rId4" xr:uid="{00000000-0004-0000-0600-000003000000}"/>
  </hyperlinks>
  <pageMargins left="0.25" right="0" top="0.25" bottom="0" header="0.31496062992126" footer="0.31496062992126"/>
  <pageSetup paperSize="768" scale="94" orientation="portrait" horizontalDpi="4294967293" verticalDpi="300"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57"/>
  <sheetViews>
    <sheetView topLeftCell="D22" workbookViewId="0">
      <selection activeCell="I45" sqref="I45:O57"/>
    </sheetView>
  </sheetViews>
  <sheetFormatPr defaultColWidth="8.85546875" defaultRowHeight="16.5" x14ac:dyDescent="0.3"/>
  <cols>
    <col min="1" max="1" width="26.140625" style="48" customWidth="1"/>
    <col min="2" max="2" width="2" style="48" customWidth="1"/>
    <col min="3" max="3" width="23.7109375" style="48" customWidth="1"/>
    <col min="4" max="4" width="2" style="48" customWidth="1"/>
    <col min="5" max="5" width="25.85546875" style="48" customWidth="1"/>
    <col min="6" max="6" width="2" style="48" customWidth="1"/>
    <col min="7" max="7" width="23.7109375" style="48" customWidth="1"/>
    <col min="8" max="8" width="8.85546875" style="48"/>
    <col min="9" max="9" width="24.28515625" style="48" customWidth="1"/>
    <col min="10" max="10" width="3" style="48" customWidth="1"/>
    <col min="11" max="11" width="24.28515625" style="48" customWidth="1"/>
    <col min="12" max="12" width="2.140625" style="48" customWidth="1"/>
    <col min="13" max="13" width="26.140625" style="48" customWidth="1"/>
    <col min="14" max="14" width="2.140625" style="48" customWidth="1"/>
    <col min="15" max="15" width="23.140625" style="48" customWidth="1"/>
    <col min="16" max="16384" width="8.85546875" style="48"/>
  </cols>
  <sheetData>
    <row r="1" spans="1:15" s="2" customFormat="1" ht="18" x14ac:dyDescent="0.25">
      <c r="A1" s="876" t="s">
        <v>0</v>
      </c>
      <c r="B1" s="876"/>
      <c r="C1" s="876"/>
      <c r="D1" s="876"/>
      <c r="E1" s="876"/>
      <c r="F1" s="876"/>
      <c r="G1" s="876"/>
      <c r="H1" s="3"/>
      <c r="I1" s="876" t="s">
        <v>0</v>
      </c>
      <c r="J1" s="876"/>
      <c r="K1" s="876"/>
      <c r="L1" s="876"/>
      <c r="M1" s="876"/>
      <c r="N1" s="876"/>
      <c r="O1" s="876"/>
    </row>
    <row r="2" spans="1:15" s="2" customFormat="1" ht="18" x14ac:dyDescent="0.25">
      <c r="A2" s="876" t="s">
        <v>113</v>
      </c>
      <c r="B2" s="876"/>
      <c r="C2" s="876"/>
      <c r="D2" s="876"/>
      <c r="E2" s="876"/>
      <c r="F2" s="876"/>
      <c r="G2" s="876"/>
      <c r="H2" s="3"/>
      <c r="I2" s="876" t="s">
        <v>113</v>
      </c>
      <c r="J2" s="876"/>
      <c r="K2" s="876"/>
      <c r="L2" s="876"/>
      <c r="M2" s="876"/>
      <c r="N2" s="876"/>
      <c r="O2" s="876"/>
    </row>
    <row r="3" spans="1:15" s="2" customFormat="1" ht="13.5" x14ac:dyDescent="0.25">
      <c r="A3" s="3"/>
      <c r="B3" s="3"/>
      <c r="C3" s="3"/>
      <c r="D3" s="3"/>
      <c r="E3" s="3"/>
      <c r="F3" s="3"/>
      <c r="G3" s="3"/>
      <c r="H3" s="3"/>
      <c r="I3" s="3"/>
      <c r="J3" s="3"/>
      <c r="K3" s="3"/>
      <c r="L3" s="3"/>
      <c r="M3" s="3"/>
      <c r="N3" s="3"/>
      <c r="O3" s="3"/>
    </row>
    <row r="4" spans="1:15" s="2" customFormat="1" ht="13.5" x14ac:dyDescent="0.25">
      <c r="A4" s="3" t="s">
        <v>16</v>
      </c>
      <c r="B4" s="3" t="s">
        <v>63</v>
      </c>
      <c r="C4" s="4" t="str">
        <f>'DATA AWAL NASABAH'!B2</f>
        <v>DYAH RETNO SULISTYOWATI</v>
      </c>
      <c r="D4" s="4"/>
      <c r="E4" s="5"/>
      <c r="H4" s="3"/>
      <c r="I4" s="3" t="s">
        <v>16</v>
      </c>
      <c r="J4" s="3" t="s">
        <v>63</v>
      </c>
      <c r="K4" s="4" t="str">
        <f>C4</f>
        <v>DYAH RETNO SULISTYOWATI</v>
      </c>
      <c r="L4" s="4"/>
      <c r="M4" s="5"/>
    </row>
    <row r="5" spans="1:15" s="2" customFormat="1" ht="13.5" x14ac:dyDescent="0.25">
      <c r="A5" s="3" t="s">
        <v>17</v>
      </c>
      <c r="B5" s="3" t="s">
        <v>63</v>
      </c>
      <c r="C5" s="6" t="str">
        <f>'DATA AWAL NASABAH'!B15</f>
        <v>0811261088</v>
      </c>
      <c r="D5" s="6"/>
      <c r="E5" s="7"/>
      <c r="H5" s="3"/>
      <c r="I5" s="3" t="s">
        <v>17</v>
      </c>
      <c r="J5" s="3" t="s">
        <v>63</v>
      </c>
      <c r="K5" s="6" t="str">
        <f>C5</f>
        <v>0811261088</v>
      </c>
      <c r="L5" s="6"/>
      <c r="M5" s="7"/>
    </row>
    <row r="6" spans="1:15" s="2" customFormat="1" ht="13.5" x14ac:dyDescent="0.25">
      <c r="A6" s="8" t="s">
        <v>18</v>
      </c>
      <c r="B6" s="3" t="s">
        <v>63</v>
      </c>
      <c r="C6" s="9">
        <f>'DATA AWAL NASABAH'!B1</f>
        <v>45986</v>
      </c>
      <c r="D6" s="10"/>
      <c r="E6" s="7"/>
      <c r="G6" s="3"/>
      <c r="H6" s="3"/>
      <c r="I6" s="8" t="s">
        <v>18</v>
      </c>
      <c r="J6" s="3" t="s">
        <v>63</v>
      </c>
      <c r="K6" s="9">
        <f>'DATA AWAL NASABAH'!B1</f>
        <v>45986</v>
      </c>
      <c r="L6" s="10"/>
      <c r="M6" s="7"/>
      <c r="O6" s="3"/>
    </row>
    <row r="7" spans="1:15" s="2" customFormat="1" ht="13.5" x14ac:dyDescent="0.25">
      <c r="A7" s="3" t="s">
        <v>105</v>
      </c>
      <c r="B7" s="3"/>
      <c r="C7" s="228"/>
      <c r="D7" s="10"/>
      <c r="E7" s="7"/>
      <c r="G7" s="3"/>
      <c r="H7" s="3"/>
      <c r="I7" s="3" t="s">
        <v>105</v>
      </c>
      <c r="J7" s="3"/>
      <c r="K7" s="228"/>
      <c r="L7" s="10"/>
      <c r="M7" s="7"/>
      <c r="O7" s="3"/>
    </row>
    <row r="8" spans="1:15" s="2" customFormat="1" ht="13.5" x14ac:dyDescent="0.25">
      <c r="A8" s="3" t="s">
        <v>106</v>
      </c>
      <c r="B8" s="3"/>
      <c r="C8" s="228"/>
      <c r="D8" s="10"/>
      <c r="E8" s="7"/>
      <c r="G8" s="3"/>
      <c r="H8" s="3"/>
      <c r="I8" s="3" t="s">
        <v>106</v>
      </c>
      <c r="J8" s="3"/>
      <c r="K8" s="228"/>
      <c r="L8" s="10"/>
      <c r="M8" s="7"/>
      <c r="O8" s="3"/>
    </row>
    <row r="9" spans="1:15" s="2" customFormat="1" ht="13.5" x14ac:dyDescent="0.25">
      <c r="A9" s="3" t="s">
        <v>108</v>
      </c>
      <c r="B9" s="3"/>
      <c r="C9" s="9"/>
      <c r="D9" s="10"/>
      <c r="E9" s="7"/>
      <c r="G9" s="3"/>
      <c r="H9" s="3"/>
      <c r="I9" s="3" t="s">
        <v>108</v>
      </c>
      <c r="J9" s="3"/>
      <c r="K9" s="9"/>
      <c r="L9" s="10"/>
      <c r="M9" s="7"/>
      <c r="O9" s="3"/>
    </row>
    <row r="10" spans="1:15" s="2" customFormat="1" ht="13.5" x14ac:dyDescent="0.25">
      <c r="A10" s="2" t="s">
        <v>107</v>
      </c>
      <c r="B10" s="3" t="s">
        <v>63</v>
      </c>
      <c r="C10" s="161"/>
      <c r="D10" s="45"/>
      <c r="E10" s="45"/>
      <c r="G10" s="3"/>
      <c r="H10" s="3"/>
      <c r="I10" s="2" t="s">
        <v>107</v>
      </c>
      <c r="J10" s="3" t="s">
        <v>63</v>
      </c>
      <c r="K10" s="161"/>
      <c r="L10" s="45"/>
      <c r="M10" s="45"/>
      <c r="O10" s="3"/>
    </row>
    <row r="11" spans="1:15" s="2" customFormat="1" ht="13.5" x14ac:dyDescent="0.25">
      <c r="A11" s="2" t="s">
        <v>109</v>
      </c>
      <c r="B11" s="3"/>
      <c r="C11" s="10"/>
      <c r="D11" s="44"/>
      <c r="E11" s="35" t="s">
        <v>110</v>
      </c>
      <c r="G11" s="4"/>
      <c r="H11" s="3"/>
      <c r="I11" s="2" t="s">
        <v>109</v>
      </c>
      <c r="J11" s="3"/>
      <c r="K11" s="10"/>
      <c r="L11" s="44"/>
      <c r="M11" s="35" t="s">
        <v>110</v>
      </c>
      <c r="O11" s="4"/>
    </row>
    <row r="12" spans="1:15" s="2" customFormat="1" ht="13.5" x14ac:dyDescent="0.25">
      <c r="B12" s="3"/>
      <c r="C12" s="44"/>
      <c r="D12" s="44"/>
      <c r="E12" s="35"/>
      <c r="G12" s="44"/>
      <c r="H12" s="3"/>
      <c r="J12" s="3"/>
      <c r="K12" s="44"/>
      <c r="L12" s="44"/>
      <c r="M12" s="35"/>
      <c r="O12" s="44"/>
    </row>
    <row r="13" spans="1:15" s="2" customFormat="1" ht="13.5" x14ac:dyDescent="0.25">
      <c r="A13" s="23" t="s">
        <v>57</v>
      </c>
      <c r="B13" s="23"/>
      <c r="C13" s="23"/>
      <c r="D13" s="23"/>
      <c r="E13" s="23" t="s">
        <v>101</v>
      </c>
      <c r="F13" s="23"/>
      <c r="G13" s="23"/>
      <c r="H13" s="28"/>
      <c r="I13" s="23" t="s">
        <v>57</v>
      </c>
      <c r="J13" s="23"/>
      <c r="K13" s="23"/>
      <c r="L13" s="23"/>
      <c r="M13" s="23" t="s">
        <v>101</v>
      </c>
      <c r="N13" s="23"/>
      <c r="O13" s="23"/>
    </row>
    <row r="14" spans="1:15" s="2" customFormat="1" ht="13.5" x14ac:dyDescent="0.25">
      <c r="A14" s="3" t="s">
        <v>103</v>
      </c>
      <c r="B14" s="3" t="s">
        <v>63</v>
      </c>
      <c r="C14" s="162"/>
      <c r="D14" s="3"/>
      <c r="E14" s="3" t="s">
        <v>24</v>
      </c>
      <c r="F14" s="3" t="s">
        <v>63</v>
      </c>
      <c r="G14" s="162"/>
      <c r="H14" s="3"/>
      <c r="I14" s="3" t="s">
        <v>103</v>
      </c>
      <c r="J14" s="3" t="s">
        <v>63</v>
      </c>
      <c r="K14" s="162"/>
      <c r="L14" s="3"/>
      <c r="M14" s="3" t="s">
        <v>24</v>
      </c>
      <c r="N14" s="3" t="s">
        <v>63</v>
      </c>
      <c r="O14" s="162"/>
    </row>
    <row r="15" spans="1:15" s="2" customFormat="1" ht="13.5" x14ac:dyDescent="0.25">
      <c r="A15" s="3" t="s">
        <v>104</v>
      </c>
      <c r="B15" s="3" t="s">
        <v>63</v>
      </c>
      <c r="C15" s="162"/>
      <c r="D15" s="3"/>
      <c r="E15" s="3" t="s">
        <v>25</v>
      </c>
      <c r="F15" s="3" t="s">
        <v>63</v>
      </c>
      <c r="G15" s="162"/>
      <c r="H15" s="3"/>
      <c r="I15" s="3" t="s">
        <v>104</v>
      </c>
      <c r="J15" s="3" t="s">
        <v>63</v>
      </c>
      <c r="K15" s="162"/>
      <c r="L15" s="3"/>
      <c r="M15" s="3" t="s">
        <v>25</v>
      </c>
      <c r="N15" s="3" t="s">
        <v>63</v>
      </c>
      <c r="O15" s="162"/>
    </row>
    <row r="16" spans="1:15" s="2" customFormat="1" ht="13.5" x14ac:dyDescent="0.25">
      <c r="A16" s="3" t="s">
        <v>89</v>
      </c>
      <c r="B16" s="2" t="s">
        <v>63</v>
      </c>
      <c r="C16" s="162" t="s">
        <v>431</v>
      </c>
      <c r="D16" s="3"/>
      <c r="E16" s="3" t="s">
        <v>26</v>
      </c>
      <c r="F16" s="2" t="s">
        <v>63</v>
      </c>
      <c r="G16" s="162"/>
      <c r="H16" s="3"/>
      <c r="I16" s="3" t="s">
        <v>89</v>
      </c>
      <c r="J16" s="2" t="s">
        <v>63</v>
      </c>
      <c r="K16" s="162" t="s">
        <v>431</v>
      </c>
      <c r="L16" s="3"/>
      <c r="M16" s="3" t="s">
        <v>26</v>
      </c>
      <c r="N16" s="2" t="s">
        <v>63</v>
      </c>
      <c r="O16" s="162"/>
    </row>
    <row r="17" spans="1:15" s="2" customFormat="1" ht="13.5" x14ac:dyDescent="0.25">
      <c r="A17" s="3" t="s">
        <v>102</v>
      </c>
      <c r="B17" s="3" t="s">
        <v>63</v>
      </c>
      <c r="C17" s="162"/>
      <c r="D17" s="3"/>
      <c r="E17" s="3" t="s">
        <v>27</v>
      </c>
      <c r="F17" s="3" t="s">
        <v>63</v>
      </c>
      <c r="G17" s="162"/>
      <c r="H17" s="3"/>
      <c r="I17" s="3" t="s">
        <v>102</v>
      </c>
      <c r="J17" s="3" t="s">
        <v>63</v>
      </c>
      <c r="K17" s="162"/>
      <c r="L17" s="3"/>
      <c r="M17" s="3" t="s">
        <v>27</v>
      </c>
      <c r="N17" s="3" t="s">
        <v>63</v>
      </c>
      <c r="O17" s="162"/>
    </row>
    <row r="18" spans="1:15" s="2" customFormat="1" ht="13.5" x14ac:dyDescent="0.25">
      <c r="A18" s="3"/>
      <c r="B18" s="3"/>
      <c r="C18" s="44"/>
      <c r="D18" s="3"/>
      <c r="E18" s="3"/>
      <c r="F18" s="3"/>
      <c r="G18" s="44"/>
      <c r="H18" s="3"/>
      <c r="I18" s="3"/>
      <c r="J18" s="3"/>
      <c r="K18" s="44"/>
      <c r="L18" s="3"/>
      <c r="M18" s="3"/>
      <c r="N18" s="3"/>
      <c r="O18" s="44"/>
    </row>
    <row r="19" spans="1:15" s="26" customFormat="1" ht="12.75" x14ac:dyDescent="0.2">
      <c r="A19" s="46" t="s">
        <v>60</v>
      </c>
      <c r="B19" s="46"/>
      <c r="C19" s="46"/>
      <c r="D19" s="46"/>
      <c r="E19" s="26" t="s">
        <v>65</v>
      </c>
      <c r="F19" s="46"/>
      <c r="G19" s="46"/>
      <c r="H19" s="46"/>
      <c r="I19" s="46" t="s">
        <v>60</v>
      </c>
      <c r="J19" s="46"/>
      <c r="K19" s="46"/>
      <c r="L19" s="46"/>
      <c r="M19" s="26" t="s">
        <v>65</v>
      </c>
      <c r="N19" s="46"/>
      <c r="O19" s="46"/>
    </row>
    <row r="20" spans="1:15" s="2" customFormat="1" ht="13.5" x14ac:dyDescent="0.25">
      <c r="A20" s="3" t="s">
        <v>69</v>
      </c>
      <c r="B20" s="3" t="s">
        <v>63</v>
      </c>
      <c r="C20" s="4"/>
      <c r="D20" s="3"/>
      <c r="E20" s="8" t="s">
        <v>37</v>
      </c>
      <c r="F20" s="3" t="s">
        <v>63</v>
      </c>
      <c r="G20" s="162" t="s">
        <v>429</v>
      </c>
      <c r="H20" s="3"/>
      <c r="I20" s="3" t="s">
        <v>69</v>
      </c>
      <c r="J20" s="3" t="s">
        <v>63</v>
      </c>
      <c r="K20" s="4">
        <v>2001</v>
      </c>
      <c r="L20" s="3"/>
      <c r="M20" s="8" t="s">
        <v>37</v>
      </c>
      <c r="N20" s="3" t="s">
        <v>63</v>
      </c>
      <c r="O20" s="162" t="s">
        <v>429</v>
      </c>
    </row>
    <row r="21" spans="1:15" s="2" customFormat="1" ht="13.5" x14ac:dyDescent="0.25">
      <c r="A21" s="3" t="s">
        <v>66</v>
      </c>
      <c r="B21" s="3" t="s">
        <v>63</v>
      </c>
      <c r="C21" s="162" t="s">
        <v>428</v>
      </c>
      <c r="D21" s="3"/>
      <c r="E21" s="8" t="s">
        <v>38</v>
      </c>
      <c r="F21" s="3" t="s">
        <v>63</v>
      </c>
      <c r="G21" s="162" t="s">
        <v>433</v>
      </c>
      <c r="H21" s="3"/>
      <c r="I21" s="3" t="s">
        <v>66</v>
      </c>
      <c r="J21" s="3" t="s">
        <v>63</v>
      </c>
      <c r="K21" s="162" t="s">
        <v>428</v>
      </c>
      <c r="L21" s="3"/>
      <c r="M21" s="8" t="s">
        <v>38</v>
      </c>
      <c r="N21" s="3" t="s">
        <v>63</v>
      </c>
      <c r="O21" s="162" t="s">
        <v>433</v>
      </c>
    </row>
    <row r="22" spans="1:15" s="2" customFormat="1" ht="13.5" x14ac:dyDescent="0.25">
      <c r="A22" s="3" t="s">
        <v>35</v>
      </c>
      <c r="B22" s="3" t="s">
        <v>63</v>
      </c>
      <c r="C22" s="162" t="s">
        <v>408</v>
      </c>
      <c r="D22" s="3"/>
      <c r="E22" s="8" t="s">
        <v>39</v>
      </c>
      <c r="F22" s="3" t="s">
        <v>63</v>
      </c>
      <c r="G22" s="162" t="s">
        <v>433</v>
      </c>
      <c r="H22" s="3"/>
      <c r="I22" s="3" t="s">
        <v>35</v>
      </c>
      <c r="J22" s="3" t="s">
        <v>63</v>
      </c>
      <c r="K22" s="162" t="s">
        <v>408</v>
      </c>
      <c r="L22" s="3"/>
      <c r="M22" s="8" t="s">
        <v>39</v>
      </c>
      <c r="N22" s="3" t="s">
        <v>63</v>
      </c>
      <c r="O22" s="162" t="s">
        <v>433</v>
      </c>
    </row>
    <row r="23" spans="1:15" s="2" customFormat="1" ht="13.5" x14ac:dyDescent="0.25">
      <c r="A23" s="3" t="s">
        <v>36</v>
      </c>
      <c r="B23" s="3" t="s">
        <v>63</v>
      </c>
      <c r="C23" s="162" t="s">
        <v>432</v>
      </c>
      <c r="D23" s="3"/>
      <c r="E23" s="8" t="s">
        <v>40</v>
      </c>
      <c r="F23" s="3" t="s">
        <v>63</v>
      </c>
      <c r="G23" s="162" t="s">
        <v>430</v>
      </c>
      <c r="H23" s="3"/>
      <c r="I23" s="3" t="s">
        <v>36</v>
      </c>
      <c r="J23" s="3" t="s">
        <v>63</v>
      </c>
      <c r="K23" s="162" t="s">
        <v>432</v>
      </c>
      <c r="L23" s="3"/>
      <c r="M23" s="8" t="s">
        <v>40</v>
      </c>
      <c r="N23" s="3" t="s">
        <v>63</v>
      </c>
      <c r="O23" s="162" t="s">
        <v>430</v>
      </c>
    </row>
    <row r="24" spans="1:15" s="2" customFormat="1" ht="13.5" x14ac:dyDescent="0.25">
      <c r="A24" s="3"/>
      <c r="B24" s="3"/>
      <c r="C24" s="44"/>
      <c r="D24" s="3"/>
      <c r="E24" s="8"/>
      <c r="F24" s="3"/>
      <c r="G24" s="44"/>
      <c r="H24" s="3"/>
      <c r="I24" s="3"/>
      <c r="J24" s="3"/>
      <c r="K24" s="44"/>
      <c r="L24" s="3"/>
      <c r="M24" s="8"/>
      <c r="N24" s="3"/>
      <c r="O24" s="44"/>
    </row>
    <row r="25" spans="1:15" s="26" customFormat="1" ht="12.75" x14ac:dyDescent="0.2">
      <c r="A25" s="46" t="s">
        <v>61</v>
      </c>
      <c r="B25" s="46"/>
      <c r="C25" s="46"/>
      <c r="D25" s="46"/>
      <c r="E25" s="46"/>
      <c r="F25" s="46"/>
      <c r="G25" s="46"/>
      <c r="H25" s="46"/>
      <c r="I25" s="46" t="s">
        <v>61</v>
      </c>
      <c r="J25" s="46"/>
      <c r="K25" s="46"/>
      <c r="L25" s="46"/>
      <c r="M25" s="46"/>
      <c r="N25" s="46"/>
      <c r="O25" s="46"/>
    </row>
    <row r="26" spans="1:15" s="2" customFormat="1" ht="13.5" x14ac:dyDescent="0.25">
      <c r="A26" s="3" t="s">
        <v>41</v>
      </c>
      <c r="B26" s="3" t="s">
        <v>63</v>
      </c>
      <c r="C26" s="162" t="s">
        <v>409</v>
      </c>
      <c r="D26" s="3"/>
      <c r="E26" s="3" t="s">
        <v>45</v>
      </c>
      <c r="F26" s="3" t="s">
        <v>63</v>
      </c>
      <c r="G26" s="162" t="s">
        <v>409</v>
      </c>
      <c r="H26" s="47"/>
      <c r="I26" s="3" t="s">
        <v>41</v>
      </c>
      <c r="J26" s="3" t="s">
        <v>63</v>
      </c>
      <c r="K26" s="162" t="s">
        <v>409</v>
      </c>
      <c r="L26" s="3"/>
      <c r="M26" s="3" t="s">
        <v>45</v>
      </c>
      <c r="N26" s="3" t="s">
        <v>63</v>
      </c>
      <c r="O26" s="162" t="s">
        <v>409</v>
      </c>
    </row>
    <row r="27" spans="1:15" s="2" customFormat="1" ht="13.5" x14ac:dyDescent="0.25">
      <c r="A27" s="3" t="s">
        <v>42</v>
      </c>
      <c r="B27" s="3" t="s">
        <v>63</v>
      </c>
      <c r="C27" s="162" t="s">
        <v>409</v>
      </c>
      <c r="D27" s="3"/>
      <c r="E27" s="3" t="s">
        <v>46</v>
      </c>
      <c r="F27" s="3" t="s">
        <v>63</v>
      </c>
      <c r="G27" s="162" t="s">
        <v>409</v>
      </c>
      <c r="H27" s="47"/>
      <c r="I27" s="3" t="s">
        <v>42</v>
      </c>
      <c r="J27" s="3" t="s">
        <v>63</v>
      </c>
      <c r="K27" s="162" t="s">
        <v>409</v>
      </c>
      <c r="L27" s="3"/>
      <c r="M27" s="3" t="s">
        <v>46</v>
      </c>
      <c r="N27" s="3" t="s">
        <v>63</v>
      </c>
      <c r="O27" s="162" t="s">
        <v>409</v>
      </c>
    </row>
    <row r="28" spans="1:15" s="2" customFormat="1" ht="13.5" x14ac:dyDescent="0.25">
      <c r="A28" s="3" t="s">
        <v>43</v>
      </c>
      <c r="B28" s="3" t="s">
        <v>63</v>
      </c>
      <c r="C28" s="162" t="s">
        <v>409</v>
      </c>
      <c r="D28" s="3"/>
      <c r="E28" s="3" t="s">
        <v>47</v>
      </c>
      <c r="F28" s="3" t="s">
        <v>63</v>
      </c>
      <c r="G28" s="162" t="s">
        <v>409</v>
      </c>
      <c r="H28" s="47"/>
      <c r="I28" s="3" t="s">
        <v>43</v>
      </c>
      <c r="J28" s="3" t="s">
        <v>63</v>
      </c>
      <c r="K28" s="162" t="s">
        <v>409</v>
      </c>
      <c r="L28" s="3"/>
      <c r="M28" s="3" t="s">
        <v>47</v>
      </c>
      <c r="N28" s="3" t="s">
        <v>63</v>
      </c>
      <c r="O28" s="162" t="s">
        <v>409</v>
      </c>
    </row>
    <row r="29" spans="1:15" s="2" customFormat="1" ht="13.5" x14ac:dyDescent="0.25">
      <c r="A29" s="3" t="s">
        <v>44</v>
      </c>
      <c r="B29" s="3" t="s">
        <v>63</v>
      </c>
      <c r="C29" s="162" t="s">
        <v>403</v>
      </c>
      <c r="D29" s="3"/>
      <c r="E29" s="3" t="s">
        <v>48</v>
      </c>
      <c r="F29" s="3" t="s">
        <v>63</v>
      </c>
      <c r="G29" s="162" t="s">
        <v>409</v>
      </c>
      <c r="H29" s="47"/>
      <c r="I29" s="3" t="s">
        <v>44</v>
      </c>
      <c r="J29" s="3" t="s">
        <v>63</v>
      </c>
      <c r="K29" s="162" t="s">
        <v>403</v>
      </c>
      <c r="L29" s="3"/>
      <c r="M29" s="3" t="s">
        <v>48</v>
      </c>
      <c r="N29" s="3" t="s">
        <v>63</v>
      </c>
      <c r="O29" s="162" t="s">
        <v>409</v>
      </c>
    </row>
    <row r="31" spans="1:15" x14ac:dyDescent="0.3">
      <c r="A31" s="229" t="s">
        <v>437</v>
      </c>
      <c r="B31" s="46"/>
      <c r="C31" s="46"/>
      <c r="I31" s="229" t="s">
        <v>438</v>
      </c>
      <c r="J31" s="46"/>
      <c r="K31" s="46"/>
    </row>
    <row r="32" spans="1:15" x14ac:dyDescent="0.3">
      <c r="A32" s="46" t="s">
        <v>111</v>
      </c>
      <c r="B32" s="46"/>
      <c r="C32" s="46"/>
      <c r="E32" s="229" t="s">
        <v>434</v>
      </c>
      <c r="F32" s="229" t="s">
        <v>63</v>
      </c>
      <c r="G32" s="46"/>
      <c r="I32" s="46" t="s">
        <v>111</v>
      </c>
      <c r="J32" s="46"/>
      <c r="K32" s="46"/>
      <c r="M32" s="229" t="s">
        <v>434</v>
      </c>
      <c r="N32" s="229" t="s">
        <v>63</v>
      </c>
      <c r="O32" s="46"/>
    </row>
    <row r="33" spans="1:15" x14ac:dyDescent="0.3">
      <c r="A33" s="163" t="s">
        <v>436</v>
      </c>
      <c r="B33" s="3" t="s">
        <v>63</v>
      </c>
      <c r="C33" s="49"/>
      <c r="E33" s="46" t="s">
        <v>111</v>
      </c>
      <c r="F33" s="229" t="s">
        <v>63</v>
      </c>
      <c r="G33" s="46"/>
      <c r="I33" s="163" t="s">
        <v>439</v>
      </c>
      <c r="J33" s="3" t="s">
        <v>63</v>
      </c>
      <c r="K33" s="49"/>
      <c r="M33" s="46" t="s">
        <v>111</v>
      </c>
      <c r="N33" s="229" t="s">
        <v>63</v>
      </c>
      <c r="O33" s="46"/>
    </row>
    <row r="34" spans="1:15" x14ac:dyDescent="0.3">
      <c r="A34" s="204" t="s">
        <v>440</v>
      </c>
      <c r="B34" s="3" t="s">
        <v>63</v>
      </c>
      <c r="C34" s="49"/>
      <c r="E34" s="163" t="s">
        <v>435</v>
      </c>
      <c r="F34" s="3" t="s">
        <v>63</v>
      </c>
      <c r="G34" s="49"/>
      <c r="I34" s="3" t="s">
        <v>112</v>
      </c>
      <c r="J34" s="3" t="s">
        <v>63</v>
      </c>
      <c r="K34" s="49"/>
      <c r="M34" s="163" t="s">
        <v>435</v>
      </c>
      <c r="N34" s="3" t="s">
        <v>63</v>
      </c>
      <c r="O34" s="49"/>
    </row>
    <row r="35" spans="1:15" x14ac:dyDescent="0.3">
      <c r="A35" s="23" t="s">
        <v>52</v>
      </c>
      <c r="B35" s="23" t="s">
        <v>63</v>
      </c>
      <c r="C35" s="49">
        <f>C33*C34</f>
        <v>0</v>
      </c>
      <c r="E35" s="3" t="s">
        <v>112</v>
      </c>
      <c r="F35" s="3" t="s">
        <v>63</v>
      </c>
      <c r="G35" s="49"/>
      <c r="I35" s="23" t="s">
        <v>52</v>
      </c>
      <c r="J35" s="23" t="s">
        <v>63</v>
      </c>
      <c r="K35" s="49">
        <f>K33*K34</f>
        <v>0</v>
      </c>
      <c r="M35" s="3" t="s">
        <v>112</v>
      </c>
      <c r="N35" s="3" t="s">
        <v>63</v>
      </c>
      <c r="O35" s="49"/>
    </row>
    <row r="36" spans="1:15" x14ac:dyDescent="0.3">
      <c r="A36" s="23" t="s">
        <v>56</v>
      </c>
      <c r="B36" s="23" t="s">
        <v>63</v>
      </c>
      <c r="C36" s="49">
        <f>C35*75%</f>
        <v>0</v>
      </c>
      <c r="E36" s="164" t="s">
        <v>410</v>
      </c>
      <c r="F36" s="23" t="s">
        <v>63</v>
      </c>
      <c r="G36" s="49">
        <f>G34*G35</f>
        <v>0</v>
      </c>
      <c r="I36" s="23" t="s">
        <v>56</v>
      </c>
      <c r="J36" s="23" t="s">
        <v>63</v>
      </c>
      <c r="K36" s="49">
        <f>K35*75%</f>
        <v>0</v>
      </c>
      <c r="M36" s="164" t="s">
        <v>410</v>
      </c>
      <c r="N36" s="23" t="s">
        <v>63</v>
      </c>
      <c r="O36" s="49">
        <f>O34*O35</f>
        <v>0</v>
      </c>
    </row>
    <row r="37" spans="1:15" x14ac:dyDescent="0.3">
      <c r="E37" s="23" t="s">
        <v>56</v>
      </c>
      <c r="F37" s="23" t="s">
        <v>63</v>
      </c>
      <c r="G37" s="49">
        <f>G36*75%</f>
        <v>0</v>
      </c>
      <c r="M37" s="23" t="s">
        <v>56</v>
      </c>
      <c r="N37" s="23" t="s">
        <v>63</v>
      </c>
      <c r="O37" s="49">
        <f>O36*75%</f>
        <v>0</v>
      </c>
    </row>
    <row r="38" spans="1:15" s="26" customFormat="1" ht="12.75" x14ac:dyDescent="0.2">
      <c r="A38" s="23" t="s">
        <v>62</v>
      </c>
      <c r="B38" s="23"/>
      <c r="C38" s="23"/>
      <c r="D38" s="23"/>
      <c r="E38" s="23"/>
      <c r="F38" s="24"/>
      <c r="G38" s="25"/>
      <c r="H38" s="23"/>
      <c r="I38" s="23" t="s">
        <v>62</v>
      </c>
      <c r="J38" s="23"/>
      <c r="K38" s="23"/>
      <c r="L38" s="23"/>
      <c r="M38" s="23"/>
      <c r="N38" s="24"/>
      <c r="O38" s="25"/>
    </row>
    <row r="39" spans="1:15" s="2" customFormat="1" ht="13.5" x14ac:dyDescent="0.25">
      <c r="A39" s="843" t="s">
        <v>441</v>
      </c>
      <c r="B39" s="868"/>
      <c r="C39" s="868"/>
      <c r="D39" s="868"/>
      <c r="E39" s="868"/>
      <c r="F39" s="868"/>
      <c r="G39" s="869"/>
      <c r="H39" s="3"/>
      <c r="I39" s="843" t="s">
        <v>441</v>
      </c>
      <c r="J39" s="868"/>
      <c r="K39" s="868"/>
      <c r="L39" s="868"/>
      <c r="M39" s="868"/>
      <c r="N39" s="868"/>
      <c r="O39" s="869"/>
    </row>
    <row r="40" spans="1:15" s="2" customFormat="1" ht="13.5" x14ac:dyDescent="0.25">
      <c r="A40" s="870"/>
      <c r="B40" s="871"/>
      <c r="C40" s="871"/>
      <c r="D40" s="871"/>
      <c r="E40" s="871"/>
      <c r="F40" s="871"/>
      <c r="G40" s="872"/>
      <c r="H40" s="28"/>
      <c r="I40" s="870"/>
      <c r="J40" s="871"/>
      <c r="K40" s="871"/>
      <c r="L40" s="871"/>
      <c r="M40" s="871"/>
      <c r="N40" s="871"/>
      <c r="O40" s="872"/>
    </row>
    <row r="41" spans="1:15" s="2" customFormat="1" ht="13.5" x14ac:dyDescent="0.25">
      <c r="A41" s="870"/>
      <c r="B41" s="871"/>
      <c r="C41" s="871"/>
      <c r="D41" s="871"/>
      <c r="E41" s="871"/>
      <c r="F41" s="871"/>
      <c r="G41" s="872"/>
      <c r="H41" s="28"/>
      <c r="I41" s="870"/>
      <c r="J41" s="871"/>
      <c r="K41" s="871"/>
      <c r="L41" s="871"/>
      <c r="M41" s="871"/>
      <c r="N41" s="871"/>
      <c r="O41" s="872"/>
    </row>
    <row r="42" spans="1:15" s="2" customFormat="1" ht="13.5" x14ac:dyDescent="0.25">
      <c r="A42" s="870"/>
      <c r="B42" s="871"/>
      <c r="C42" s="871"/>
      <c r="D42" s="871"/>
      <c r="E42" s="871"/>
      <c r="F42" s="871"/>
      <c r="G42" s="872"/>
      <c r="H42" s="28"/>
      <c r="I42" s="870"/>
      <c r="J42" s="871"/>
      <c r="K42" s="871"/>
      <c r="L42" s="871"/>
      <c r="M42" s="871"/>
      <c r="N42" s="871"/>
      <c r="O42" s="872"/>
    </row>
    <row r="43" spans="1:15" s="2" customFormat="1" ht="13.5" x14ac:dyDescent="0.25">
      <c r="A43" s="873"/>
      <c r="B43" s="874"/>
      <c r="C43" s="874"/>
      <c r="D43" s="874"/>
      <c r="E43" s="874"/>
      <c r="F43" s="874"/>
      <c r="G43" s="875"/>
      <c r="H43" s="28"/>
      <c r="I43" s="873"/>
      <c r="J43" s="874"/>
      <c r="K43" s="874"/>
      <c r="L43" s="874"/>
      <c r="M43" s="874"/>
      <c r="N43" s="874"/>
      <c r="O43" s="875"/>
    </row>
    <row r="44" spans="1:15" s="2" customFormat="1" ht="9" customHeight="1" x14ac:dyDescent="0.25">
      <c r="A44" s="27"/>
      <c r="B44" s="27"/>
      <c r="C44" s="27"/>
      <c r="D44" s="27"/>
      <c r="E44" s="27"/>
      <c r="F44" s="27"/>
      <c r="G44" s="27"/>
      <c r="H44" s="28"/>
      <c r="I44" s="262"/>
      <c r="J44" s="262"/>
      <c r="K44" s="262"/>
      <c r="L44" s="262"/>
      <c r="M44" s="262"/>
      <c r="N44" s="262"/>
      <c r="O44" s="262"/>
    </row>
    <row r="45" spans="1:15" s="2" customFormat="1" ht="13.5" x14ac:dyDescent="0.25">
      <c r="A45" s="29" t="s">
        <v>2</v>
      </c>
      <c r="B45" s="385"/>
      <c r="C45" s="29" t="s">
        <v>3</v>
      </c>
      <c r="D45" s="385"/>
      <c r="E45" s="31" t="s">
        <v>4</v>
      </c>
      <c r="F45" s="32"/>
      <c r="G45" s="31" t="s">
        <v>4</v>
      </c>
      <c r="H45" s="11"/>
      <c r="I45" s="29" t="s">
        <v>2</v>
      </c>
      <c r="J45" s="30"/>
      <c r="K45" s="29" t="s">
        <v>3</v>
      </c>
      <c r="L45" s="30"/>
      <c r="M45" s="31" t="s">
        <v>4</v>
      </c>
      <c r="N45" s="32"/>
      <c r="O45" s="31" t="s">
        <v>4</v>
      </c>
    </row>
    <row r="46" spans="1:15" s="2" customFormat="1" ht="13.5" x14ac:dyDescent="0.25">
      <c r="A46" s="29"/>
      <c r="B46" s="385"/>
      <c r="C46" s="29"/>
      <c r="D46" s="385"/>
      <c r="E46" s="33"/>
      <c r="F46" s="32"/>
      <c r="G46" s="33"/>
      <c r="H46" s="11"/>
      <c r="I46" s="29"/>
      <c r="J46" s="30"/>
      <c r="K46" s="29"/>
      <c r="L46" s="30"/>
      <c r="M46" s="33"/>
      <c r="N46" s="32"/>
      <c r="O46" s="33"/>
    </row>
    <row r="47" spans="1:15" s="2" customFormat="1" ht="13.5" x14ac:dyDescent="0.25">
      <c r="A47" s="33"/>
      <c r="B47" s="385"/>
      <c r="C47" s="33"/>
      <c r="D47" s="385"/>
      <c r="E47" s="33"/>
      <c r="F47" s="32"/>
      <c r="G47" s="33"/>
      <c r="H47" s="11"/>
      <c r="I47" s="33"/>
      <c r="J47" s="30"/>
      <c r="K47" s="33"/>
      <c r="L47" s="30"/>
      <c r="M47" s="33"/>
      <c r="N47" s="32"/>
      <c r="O47" s="33"/>
    </row>
    <row r="48" spans="1:15" s="2" customFormat="1" ht="13.5" x14ac:dyDescent="0.25">
      <c r="A48" s="33"/>
      <c r="B48" s="385"/>
      <c r="C48" s="33"/>
      <c r="D48" s="385"/>
      <c r="E48" s="33"/>
      <c r="F48" s="32"/>
      <c r="G48" s="33"/>
      <c r="H48" s="11"/>
      <c r="I48" s="33"/>
      <c r="J48" s="30"/>
      <c r="K48" s="33"/>
      <c r="L48" s="30"/>
      <c r="M48" s="33"/>
      <c r="N48" s="32"/>
      <c r="O48" s="33"/>
    </row>
    <row r="49" spans="1:15" s="2" customFormat="1" ht="13.5" x14ac:dyDescent="0.25">
      <c r="A49" s="181" t="e">
        <f>'DATA AWAL NASABAH'!#REF!</f>
        <v>#REF!</v>
      </c>
      <c r="B49" s="385"/>
      <c r="C49" s="181" t="s">
        <v>506</v>
      </c>
      <c r="D49" s="385"/>
      <c r="E49" s="181" t="s">
        <v>507</v>
      </c>
      <c r="F49" s="32"/>
      <c r="G49" s="181" t="s">
        <v>504</v>
      </c>
      <c r="H49" s="11"/>
      <c r="I49" s="181" t="str">
        <f>'DATA AWAL NASABAH'!B30</f>
        <v>ADRIAN WAHYU P</v>
      </c>
      <c r="J49" s="30"/>
      <c r="K49" s="181" t="s">
        <v>506</v>
      </c>
      <c r="L49" s="30"/>
      <c r="M49" s="181" t="s">
        <v>507</v>
      </c>
      <c r="N49" s="32"/>
      <c r="O49" s="181" t="s">
        <v>504</v>
      </c>
    </row>
    <row r="50" spans="1:15" s="2" customFormat="1" ht="13.5" x14ac:dyDescent="0.25">
      <c r="A50" s="34" t="s">
        <v>8</v>
      </c>
      <c r="B50" s="385"/>
      <c r="C50" s="34" t="s">
        <v>9</v>
      </c>
      <c r="D50" s="385"/>
      <c r="E50" s="34" t="s">
        <v>10</v>
      </c>
      <c r="F50" s="32"/>
      <c r="G50" s="207" t="s">
        <v>500</v>
      </c>
      <c r="H50" s="11"/>
      <c r="I50" s="34" t="s">
        <v>8</v>
      </c>
      <c r="J50" s="30"/>
      <c r="K50" s="34" t="s">
        <v>9</v>
      </c>
      <c r="L50" s="30"/>
      <c r="M50" s="34" t="s">
        <v>10</v>
      </c>
      <c r="N50" s="32"/>
      <c r="O50" s="207" t="s">
        <v>500</v>
      </c>
    </row>
    <row r="51" spans="1:15" s="2" customFormat="1" ht="13.5" x14ac:dyDescent="0.25">
      <c r="A51" s="385"/>
      <c r="B51" s="385"/>
      <c r="C51" s="385"/>
      <c r="D51" s="385"/>
      <c r="E51" s="385"/>
      <c r="F51" s="385"/>
      <c r="G51" s="385"/>
      <c r="H51" s="35"/>
      <c r="I51" s="30"/>
      <c r="J51" s="30"/>
      <c r="K51" s="30"/>
      <c r="L51" s="30"/>
      <c r="M51" s="30"/>
      <c r="N51" s="30"/>
      <c r="O51" s="30"/>
    </row>
    <row r="52" spans="1:15" s="2" customFormat="1" ht="13.5" x14ac:dyDescent="0.25">
      <c r="A52" s="36" t="s">
        <v>4</v>
      </c>
      <c r="B52" s="12"/>
      <c r="C52" s="385"/>
      <c r="D52" s="386"/>
      <c r="E52" s="385"/>
      <c r="F52" s="386"/>
      <c r="G52" s="385"/>
      <c r="H52" s="38"/>
      <c r="I52" s="36" t="s">
        <v>4</v>
      </c>
      <c r="J52" s="12"/>
      <c r="K52" s="385"/>
      <c r="L52" s="386"/>
      <c r="M52" s="385"/>
      <c r="N52" s="37"/>
      <c r="O52" s="30"/>
    </row>
    <row r="53" spans="1:15" s="2" customFormat="1" ht="13.5" x14ac:dyDescent="0.25">
      <c r="A53" s="41"/>
      <c r="B53" s="32"/>
      <c r="C53" s="385"/>
      <c r="D53" s="386"/>
      <c r="E53" s="385"/>
      <c r="F53" s="386"/>
      <c r="G53" s="385"/>
      <c r="H53" s="38"/>
      <c r="I53" s="41"/>
      <c r="J53" s="32"/>
      <c r="K53" s="385"/>
      <c r="L53" s="386"/>
      <c r="M53" s="385"/>
      <c r="N53" s="37"/>
      <c r="O53" s="30"/>
    </row>
    <row r="54" spans="1:15" s="2" customFormat="1" ht="13.5" x14ac:dyDescent="0.25">
      <c r="A54" s="41"/>
      <c r="B54" s="32"/>
      <c r="C54" s="385"/>
      <c r="D54" s="386"/>
      <c r="E54" s="385"/>
      <c r="F54" s="386"/>
      <c r="G54" s="385"/>
      <c r="H54" s="38"/>
      <c r="I54" s="41"/>
      <c r="J54" s="32"/>
      <c r="K54" s="385"/>
      <c r="L54" s="386"/>
      <c r="M54" s="385"/>
      <c r="N54" s="37"/>
      <c r="O54" s="30"/>
    </row>
    <row r="55" spans="1:15" s="2" customFormat="1" ht="13.5" x14ac:dyDescent="0.25">
      <c r="A55" s="41"/>
      <c r="B55" s="32"/>
      <c r="C55" s="385"/>
      <c r="D55" s="386"/>
      <c r="E55" s="385"/>
      <c r="F55" s="386"/>
      <c r="G55" s="385"/>
      <c r="H55" s="38"/>
      <c r="I55" s="41"/>
      <c r="J55" s="32"/>
      <c r="K55" s="385"/>
      <c r="L55" s="386"/>
      <c r="M55" s="385"/>
      <c r="N55" s="37"/>
      <c r="O55" s="30"/>
    </row>
    <row r="56" spans="1:15" s="2" customFormat="1" ht="13.5" x14ac:dyDescent="0.25">
      <c r="A56" s="36" t="s">
        <v>505</v>
      </c>
      <c r="B56" s="12"/>
      <c r="C56" s="385"/>
      <c r="D56" s="386"/>
      <c r="E56" s="385"/>
      <c r="F56" s="386"/>
      <c r="G56" s="385"/>
      <c r="H56" s="44"/>
      <c r="I56" s="36" t="s">
        <v>505</v>
      </c>
      <c r="J56" s="12"/>
      <c r="K56" s="385"/>
      <c r="L56" s="386"/>
      <c r="M56" s="385"/>
      <c r="N56" s="37"/>
      <c r="O56" s="30"/>
    </row>
    <row r="57" spans="1:15" s="2" customFormat="1" ht="13.5" x14ac:dyDescent="0.25">
      <c r="A57" s="36" t="s">
        <v>11</v>
      </c>
      <c r="B57" s="12"/>
      <c r="C57" s="385"/>
      <c r="D57" s="386"/>
      <c r="E57" s="385"/>
      <c r="F57" s="386"/>
      <c r="G57" s="385"/>
      <c r="H57" s="44"/>
      <c r="I57" s="36" t="s">
        <v>11</v>
      </c>
      <c r="J57" s="12"/>
      <c r="K57" s="385"/>
      <c r="L57" s="386"/>
      <c r="M57" s="385"/>
      <c r="N57" s="37"/>
      <c r="O57" s="30"/>
    </row>
  </sheetData>
  <mergeCells count="6">
    <mergeCell ref="A1:G1"/>
    <mergeCell ref="A2:G2"/>
    <mergeCell ref="A39:G43"/>
    <mergeCell ref="I1:O1"/>
    <mergeCell ref="I2:O2"/>
    <mergeCell ref="I39:O43"/>
  </mergeCells>
  <pageMargins left="0.11811023622047245" right="0.15748031496062992" top="0.19685039370078741" bottom="0.23622047244094491" header="0.31496062992125984" footer="0.31496062992125984"/>
  <pageSetup paperSize="5" scale="80"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6"/>
  <sheetViews>
    <sheetView topLeftCell="A46" workbookViewId="0">
      <selection activeCell="K106" sqref="K106"/>
    </sheetView>
  </sheetViews>
  <sheetFormatPr defaultRowHeight="15" x14ac:dyDescent="0.25"/>
  <cols>
    <col min="1" max="3" width="9.5703125" customWidth="1"/>
    <col min="4" max="4" width="2" style="93" customWidth="1"/>
    <col min="5" max="10" width="9.5703125" customWidth="1"/>
    <col min="11" max="11" width="13.7109375" customWidth="1"/>
  </cols>
  <sheetData>
    <row r="1" spans="1:11" ht="21" x14ac:dyDescent="0.35">
      <c r="A1" s="904" t="s">
        <v>612</v>
      </c>
      <c r="B1" s="904"/>
      <c r="C1" s="904"/>
      <c r="D1" s="904"/>
      <c r="E1" s="904"/>
      <c r="F1" s="904"/>
      <c r="G1" s="904"/>
      <c r="H1" s="904"/>
      <c r="I1" s="904"/>
      <c r="J1" s="904"/>
      <c r="K1" s="904"/>
    </row>
    <row r="2" spans="1:11" ht="21" x14ac:dyDescent="0.35">
      <c r="A2" s="904" t="s">
        <v>370</v>
      </c>
      <c r="B2" s="904"/>
      <c r="C2" s="904"/>
      <c r="D2" s="904"/>
      <c r="E2" s="904"/>
      <c r="F2" s="904"/>
      <c r="G2" s="904"/>
      <c r="H2" s="904"/>
      <c r="I2" s="904"/>
      <c r="J2" s="904"/>
      <c r="K2" s="904"/>
    </row>
    <row r="3" spans="1:11" x14ac:dyDescent="0.25">
      <c r="B3" s="92" t="s">
        <v>223</v>
      </c>
      <c r="C3" s="92"/>
      <c r="F3" s="92" t="s">
        <v>224</v>
      </c>
      <c r="G3" s="92"/>
      <c r="H3" s="92"/>
      <c r="I3" t="s">
        <v>225</v>
      </c>
    </row>
    <row r="4" spans="1:11" ht="15.75" thickBot="1" x14ac:dyDescent="0.3"/>
    <row r="5" spans="1:11" s="94" customFormat="1" ht="23.25" customHeight="1" thickBot="1" x14ac:dyDescent="0.3">
      <c r="A5" s="891" t="s">
        <v>226</v>
      </c>
      <c r="B5" s="892"/>
      <c r="C5" s="892"/>
      <c r="D5" s="892"/>
      <c r="E5" s="892"/>
      <c r="F5" s="892"/>
      <c r="G5" s="892"/>
      <c r="H5" s="892"/>
      <c r="I5" s="892"/>
      <c r="J5" s="892"/>
      <c r="K5" s="893"/>
    </row>
    <row r="6" spans="1:11" x14ac:dyDescent="0.25">
      <c r="A6" s="95"/>
      <c r="B6" s="95"/>
      <c r="C6" s="95"/>
      <c r="D6" s="96"/>
      <c r="E6" s="95"/>
      <c r="F6" s="95"/>
      <c r="G6" s="95"/>
      <c r="H6" s="95"/>
      <c r="I6" s="95"/>
      <c r="J6" s="95"/>
      <c r="K6" s="95"/>
    </row>
    <row r="7" spans="1:11" x14ac:dyDescent="0.25">
      <c r="A7" s="901" t="s">
        <v>227</v>
      </c>
      <c r="B7" s="901"/>
      <c r="C7" s="901"/>
      <c r="D7" s="97" t="s">
        <v>63</v>
      </c>
      <c r="E7" s="905"/>
      <c r="F7" s="905"/>
      <c r="G7" s="905"/>
      <c r="H7" s="905"/>
      <c r="I7" s="905"/>
      <c r="J7" s="905"/>
      <c r="K7" s="905"/>
    </row>
    <row r="8" spans="1:11" x14ac:dyDescent="0.25">
      <c r="A8" s="901" t="s">
        <v>228</v>
      </c>
      <c r="B8" s="901"/>
      <c r="C8" s="901"/>
      <c r="D8" s="97" t="s">
        <v>63</v>
      </c>
      <c r="E8" s="98" t="str">
        <f>'DATA AWAL NASABAH'!B2</f>
        <v>DYAH RETNO SULISTYOWATI</v>
      </c>
      <c r="F8" s="98"/>
      <c r="G8" s="98"/>
      <c r="H8" s="98"/>
      <c r="I8" s="98"/>
      <c r="J8" s="98"/>
      <c r="K8" s="98"/>
    </row>
    <row r="9" spans="1:11" x14ac:dyDescent="0.25">
      <c r="A9" s="901" t="s">
        <v>229</v>
      </c>
      <c r="B9" s="901"/>
      <c r="C9" s="901"/>
      <c r="D9" s="97" t="s">
        <v>63</v>
      </c>
      <c r="E9" s="99"/>
      <c r="F9" s="99" t="s">
        <v>230</v>
      </c>
      <c r="G9" s="99"/>
      <c r="H9" s="99"/>
      <c r="I9" s="99" t="s">
        <v>231</v>
      </c>
      <c r="J9" s="99"/>
      <c r="K9" s="99"/>
    </row>
    <row r="10" spans="1:11" x14ac:dyDescent="0.25">
      <c r="A10" s="901" t="s">
        <v>232</v>
      </c>
      <c r="B10" s="901"/>
      <c r="C10" s="901"/>
      <c r="D10" s="97" t="s">
        <v>63</v>
      </c>
      <c r="E10" s="98" t="str">
        <f>'DATA AWAL NASABAH'!B3</f>
        <v>WONOSOBO, 19-04-1978</v>
      </c>
      <c r="F10" s="100"/>
      <c r="G10" s="98"/>
      <c r="H10" s="98"/>
      <c r="I10" s="98"/>
      <c r="J10" s="98"/>
      <c r="K10" s="98"/>
    </row>
    <row r="11" spans="1:11" x14ac:dyDescent="0.25">
      <c r="A11" s="901" t="s">
        <v>233</v>
      </c>
      <c r="B11" s="901"/>
      <c r="C11" s="901"/>
      <c r="D11" s="97" t="s">
        <v>63</v>
      </c>
      <c r="E11" s="101" t="str">
        <f>'DATA AWAL NASABAH'!B22</f>
        <v>SRI MURTINI</v>
      </c>
      <c r="F11" s="101"/>
      <c r="G11" s="101"/>
      <c r="H11" s="101"/>
      <c r="I11" s="101"/>
      <c r="J11" s="101"/>
      <c r="K11" s="101"/>
    </row>
    <row r="12" spans="1:11" x14ac:dyDescent="0.25">
      <c r="A12" s="901" t="s">
        <v>234</v>
      </c>
      <c r="B12" s="901"/>
      <c r="C12" s="901"/>
      <c r="D12" s="97" t="s">
        <v>63</v>
      </c>
      <c r="E12" s="102"/>
      <c r="F12" s="102" t="s">
        <v>235</v>
      </c>
      <c r="G12" s="102"/>
      <c r="H12" s="102" t="s">
        <v>236</v>
      </c>
      <c r="I12" s="102"/>
      <c r="J12" s="102" t="s">
        <v>539</v>
      </c>
      <c r="K12" s="102"/>
    </row>
    <row r="13" spans="1:11" x14ac:dyDescent="0.25">
      <c r="A13" s="901" t="s">
        <v>237</v>
      </c>
      <c r="B13" s="901"/>
      <c r="C13" s="901"/>
      <c r="D13" s="97" t="s">
        <v>63</v>
      </c>
      <c r="E13" s="102"/>
      <c r="F13" s="102" t="s">
        <v>238</v>
      </c>
      <c r="G13" s="102"/>
      <c r="H13" s="102" t="s">
        <v>239</v>
      </c>
      <c r="I13" s="102"/>
      <c r="J13" s="102" t="s">
        <v>240</v>
      </c>
      <c r="K13" s="102"/>
    </row>
    <row r="14" spans="1:11" x14ac:dyDescent="0.25">
      <c r="A14" s="901" t="s">
        <v>241</v>
      </c>
      <c r="B14" s="901"/>
      <c r="C14" s="901"/>
      <c r="D14" s="97" t="s">
        <v>63</v>
      </c>
      <c r="E14" s="887" t="str">
        <f>'DATA AWAL NASABAH'!B16</f>
        <v>3307095904780003</v>
      </c>
      <c r="F14" s="887"/>
      <c r="G14" s="122"/>
      <c r="H14" s="98"/>
      <c r="I14" s="98"/>
      <c r="J14" s="98"/>
      <c r="K14" s="98"/>
    </row>
    <row r="15" spans="1:11" x14ac:dyDescent="0.25">
      <c r="A15" s="901" t="s">
        <v>242</v>
      </c>
      <c r="B15" s="901"/>
      <c r="C15" s="901"/>
      <c r="D15" s="97" t="s">
        <v>63</v>
      </c>
      <c r="E15" s="101" t="str">
        <f>'DATA AWAL NASABAH'!H11</f>
        <v>TOSARI REJO 001/006 JARAKSARI WONOSOBO WONOSOBO</v>
      </c>
      <c r="F15" s="101"/>
      <c r="G15" s="101"/>
      <c r="H15" s="101"/>
      <c r="I15" s="101"/>
      <c r="J15" s="101"/>
      <c r="K15" s="101"/>
    </row>
    <row r="16" spans="1:11" x14ac:dyDescent="0.25">
      <c r="A16" s="901" t="s">
        <v>243</v>
      </c>
      <c r="B16" s="901"/>
      <c r="C16" s="901"/>
      <c r="D16" s="97" t="s">
        <v>63</v>
      </c>
      <c r="E16" s="101" t="str">
        <f>'DATA AWAL NASABAH'!H11</f>
        <v>TOSARI REJO 001/006 JARAKSARI WONOSOBO WONOSOBO</v>
      </c>
      <c r="F16" s="101"/>
      <c r="G16" s="101"/>
      <c r="H16" s="101"/>
      <c r="I16" s="101"/>
      <c r="J16" s="101"/>
      <c r="K16" s="101"/>
    </row>
    <row r="17" spans="1:11" x14ac:dyDescent="0.25">
      <c r="A17" s="901" t="s">
        <v>244</v>
      </c>
      <c r="B17" s="901"/>
      <c r="C17" s="901"/>
      <c r="D17" s="97" t="s">
        <v>63</v>
      </c>
      <c r="E17" s="101"/>
      <c r="F17" s="101"/>
      <c r="G17" s="101"/>
      <c r="H17" s="101"/>
      <c r="I17" s="101"/>
      <c r="J17" s="101"/>
      <c r="K17" s="101"/>
    </row>
    <row r="18" spans="1:11" x14ac:dyDescent="0.25">
      <c r="A18" s="901" t="s">
        <v>245</v>
      </c>
      <c r="B18" s="901"/>
      <c r="C18" s="901"/>
      <c r="D18" s="97" t="s">
        <v>63</v>
      </c>
      <c r="E18" s="102"/>
      <c r="F18" s="102" t="s">
        <v>246</v>
      </c>
      <c r="G18" s="102"/>
      <c r="H18" s="102" t="s">
        <v>247</v>
      </c>
      <c r="I18" s="102"/>
      <c r="J18" s="102" t="s">
        <v>248</v>
      </c>
      <c r="K18" s="102"/>
    </row>
    <row r="19" spans="1:11" x14ac:dyDescent="0.25">
      <c r="A19" s="97"/>
      <c r="B19" s="97"/>
      <c r="C19" s="97"/>
      <c r="D19" s="97"/>
      <c r="E19" s="102"/>
      <c r="F19" s="102" t="s">
        <v>249</v>
      </c>
      <c r="G19" s="102"/>
      <c r="H19" s="102"/>
      <c r="I19" s="102"/>
      <c r="J19" s="102"/>
      <c r="K19" s="102"/>
    </row>
    <row r="20" spans="1:11" x14ac:dyDescent="0.25">
      <c r="A20" s="901" t="s">
        <v>17</v>
      </c>
      <c r="B20" s="901"/>
      <c r="C20" s="901"/>
      <c r="D20" s="97" t="s">
        <v>63</v>
      </c>
      <c r="E20" s="122" t="str">
        <f>'DATA AWAL NASABAH'!B15</f>
        <v>0811261088</v>
      </c>
      <c r="F20" s="98"/>
      <c r="G20" s="98"/>
      <c r="H20" s="98"/>
      <c r="I20" s="98"/>
      <c r="J20" s="98"/>
      <c r="K20" s="98"/>
    </row>
    <row r="21" spans="1:11" x14ac:dyDescent="0.25">
      <c r="A21" s="901" t="s">
        <v>250</v>
      </c>
      <c r="B21" s="901"/>
      <c r="C21" s="901"/>
      <c r="D21" s="97" t="s">
        <v>63</v>
      </c>
      <c r="E21" s="903" t="s">
        <v>251</v>
      </c>
      <c r="F21" s="903"/>
      <c r="G21" s="903"/>
      <c r="H21" s="903"/>
      <c r="I21" s="903"/>
      <c r="J21" s="903"/>
      <c r="K21" s="903"/>
    </row>
    <row r="22" spans="1:11" x14ac:dyDescent="0.25">
      <c r="A22" s="901" t="s">
        <v>252</v>
      </c>
      <c r="B22" s="901"/>
      <c r="C22" s="901"/>
      <c r="D22" s="97" t="s">
        <v>63</v>
      </c>
      <c r="E22" s="102"/>
      <c r="F22" s="102" t="s">
        <v>253</v>
      </c>
      <c r="G22" s="102"/>
      <c r="H22" s="901" t="s">
        <v>254</v>
      </c>
      <c r="I22" s="901"/>
      <c r="J22" s="901"/>
      <c r="K22" s="901"/>
    </row>
    <row r="23" spans="1:11" x14ac:dyDescent="0.25">
      <c r="A23" s="901" t="s">
        <v>255</v>
      </c>
      <c r="B23" s="901"/>
      <c r="C23" s="901"/>
      <c r="D23" s="97" t="s">
        <v>63</v>
      </c>
      <c r="E23" s="102"/>
      <c r="F23" s="102" t="s">
        <v>256</v>
      </c>
      <c r="G23" s="102"/>
      <c r="H23" s="102" t="s">
        <v>257</v>
      </c>
      <c r="I23" s="102"/>
      <c r="J23" s="102"/>
      <c r="K23" s="102"/>
    </row>
    <row r="24" spans="1:11" x14ac:dyDescent="0.25">
      <c r="A24" s="901" t="s">
        <v>258</v>
      </c>
      <c r="B24" s="901"/>
      <c r="C24" s="901"/>
      <c r="D24" s="97" t="s">
        <v>63</v>
      </c>
      <c r="E24" s="102"/>
      <c r="F24" s="97" t="s">
        <v>259</v>
      </c>
      <c r="G24" s="102"/>
      <c r="H24" s="97" t="s">
        <v>260</v>
      </c>
      <c r="I24" s="102"/>
      <c r="J24" s="103" t="s">
        <v>261</v>
      </c>
      <c r="K24" s="103"/>
    </row>
    <row r="25" spans="1:11" x14ac:dyDescent="0.25">
      <c r="A25" s="97"/>
      <c r="B25" s="97"/>
      <c r="C25" s="97"/>
      <c r="D25" s="97"/>
      <c r="E25" s="102"/>
      <c r="F25" s="97" t="s">
        <v>262</v>
      </c>
      <c r="G25" s="102"/>
      <c r="H25" s="97" t="s">
        <v>263</v>
      </c>
      <c r="I25" s="102"/>
      <c r="J25" s="102" t="s">
        <v>264</v>
      </c>
      <c r="K25" s="102"/>
    </row>
    <row r="26" spans="1:11" x14ac:dyDescent="0.25">
      <c r="A26" s="901" t="s">
        <v>265</v>
      </c>
      <c r="B26" s="901"/>
      <c r="C26" s="901"/>
      <c r="D26" s="97" t="s">
        <v>63</v>
      </c>
      <c r="E26" s="102"/>
      <c r="F26" s="102" t="s">
        <v>266</v>
      </c>
      <c r="G26" s="102"/>
      <c r="H26" s="102" t="s">
        <v>267</v>
      </c>
      <c r="I26" s="102"/>
      <c r="J26" s="102" t="s">
        <v>264</v>
      </c>
      <c r="K26" s="102"/>
    </row>
    <row r="27" spans="1:11" ht="15.75" thickBot="1" x14ac:dyDescent="0.3">
      <c r="A27" s="102"/>
      <c r="B27" s="102"/>
      <c r="C27" s="102"/>
      <c r="D27" s="97"/>
      <c r="E27" s="102"/>
      <c r="F27" s="102"/>
      <c r="G27" s="102"/>
      <c r="H27" s="102"/>
      <c r="I27" s="102"/>
      <c r="J27" s="102"/>
      <c r="K27" s="102"/>
    </row>
    <row r="28" spans="1:11" s="94" customFormat="1" ht="22.5" customHeight="1" thickBot="1" x14ac:dyDescent="0.3">
      <c r="A28" s="891" t="s">
        <v>268</v>
      </c>
      <c r="B28" s="892"/>
      <c r="C28" s="892"/>
      <c r="D28" s="892"/>
      <c r="E28" s="892"/>
      <c r="F28" s="892"/>
      <c r="G28" s="892"/>
      <c r="H28" s="892"/>
      <c r="I28" s="892"/>
      <c r="J28" s="892"/>
      <c r="K28" s="893"/>
    </row>
    <row r="29" spans="1:11" x14ac:dyDescent="0.25">
      <c r="A29" s="894" t="s">
        <v>269</v>
      </c>
      <c r="B29" s="894"/>
      <c r="C29" s="894"/>
      <c r="D29" s="97" t="s">
        <v>63</v>
      </c>
      <c r="E29" s="104" t="str">
        <f>'DATA AWAL NASABAH'!B6</f>
        <v>AFIF NURHIDAYAT</v>
      </c>
      <c r="F29" s="104"/>
      <c r="G29" s="104"/>
      <c r="H29" s="104"/>
      <c r="I29" s="104"/>
      <c r="J29" s="104"/>
      <c r="K29" s="104"/>
    </row>
    <row r="30" spans="1:11" x14ac:dyDescent="0.25">
      <c r="A30" s="901" t="s">
        <v>270</v>
      </c>
      <c r="B30" s="901"/>
      <c r="C30" s="901"/>
      <c r="D30" s="97" t="s">
        <v>63</v>
      </c>
      <c r="E30" s="101" t="str">
        <f>'DATA AWAL NASABAH'!B7</f>
        <v>WONOSOBO, 25-11-1970</v>
      </c>
      <c r="F30" s="105"/>
      <c r="G30" s="101"/>
      <c r="H30" s="101"/>
      <c r="I30" s="101"/>
      <c r="J30" s="101"/>
      <c r="K30" s="101"/>
    </row>
    <row r="31" spans="1:11" x14ac:dyDescent="0.25">
      <c r="A31" s="901" t="s">
        <v>77</v>
      </c>
      <c r="B31" s="901"/>
      <c r="C31" s="901"/>
      <c r="D31" s="97" t="s">
        <v>63</v>
      </c>
      <c r="E31" s="101" t="str">
        <f>'DATA AWAL NASABAH'!H11</f>
        <v>TOSARI REJO 001/006 JARAKSARI WONOSOBO WONOSOBO</v>
      </c>
      <c r="F31" s="101"/>
      <c r="G31" s="101"/>
      <c r="H31" s="101"/>
      <c r="I31" s="101"/>
      <c r="J31" s="101"/>
      <c r="K31" s="101"/>
    </row>
    <row r="32" spans="1:11" x14ac:dyDescent="0.25">
      <c r="A32" s="901" t="s">
        <v>175</v>
      </c>
      <c r="B32" s="901"/>
      <c r="C32" s="901"/>
      <c r="D32" s="97" t="s">
        <v>63</v>
      </c>
      <c r="E32" s="903" t="str">
        <f>'DATA AWAL NASABAH'!B8</f>
        <v>BUPATI</v>
      </c>
      <c r="F32" s="903"/>
      <c r="G32" s="903"/>
      <c r="H32" s="903"/>
      <c r="I32" s="903"/>
      <c r="J32" s="903"/>
      <c r="K32" s="903"/>
    </row>
    <row r="33" spans="1:11" x14ac:dyDescent="0.25">
      <c r="A33" s="901" t="s">
        <v>271</v>
      </c>
      <c r="B33" s="901"/>
      <c r="C33" s="901"/>
      <c r="D33" s="97" t="s">
        <v>63</v>
      </c>
      <c r="E33" s="106" t="s">
        <v>272</v>
      </c>
      <c r="G33" s="97" t="s">
        <v>273</v>
      </c>
      <c r="H33" s="106" t="s">
        <v>274</v>
      </c>
      <c r="J33" s="107"/>
      <c r="K33" s="108"/>
    </row>
    <row r="34" spans="1:11" x14ac:dyDescent="0.25">
      <c r="A34" s="901" t="s">
        <v>275</v>
      </c>
      <c r="B34" s="901"/>
      <c r="C34" s="901"/>
      <c r="D34" s="97"/>
      <c r="E34" s="902"/>
      <c r="F34" s="902"/>
      <c r="G34" s="902"/>
      <c r="H34" s="902"/>
      <c r="I34" s="902"/>
      <c r="J34" s="902"/>
      <c r="K34" s="902"/>
    </row>
    <row r="35" spans="1:11" ht="15.75" thickBot="1" x14ac:dyDescent="0.3">
      <c r="A35" s="102"/>
      <c r="B35" s="102"/>
      <c r="C35" s="102"/>
      <c r="D35" s="97"/>
      <c r="E35" s="102"/>
      <c r="F35" s="102"/>
      <c r="G35" s="102"/>
      <c r="H35" s="102"/>
      <c r="I35" s="102"/>
      <c r="J35" s="102"/>
      <c r="K35" s="102"/>
    </row>
    <row r="36" spans="1:11" s="94" customFormat="1" ht="21" customHeight="1" thickBot="1" x14ac:dyDescent="0.3">
      <c r="A36" s="891" t="s">
        <v>276</v>
      </c>
      <c r="B36" s="892"/>
      <c r="C36" s="892"/>
      <c r="D36" s="892"/>
      <c r="E36" s="892"/>
      <c r="F36" s="892"/>
      <c r="G36" s="892"/>
      <c r="H36" s="892"/>
      <c r="I36" s="892"/>
      <c r="J36" s="892"/>
      <c r="K36" s="893"/>
    </row>
    <row r="37" spans="1:11" x14ac:dyDescent="0.25">
      <c r="A37" s="894" t="s">
        <v>277</v>
      </c>
      <c r="B37" s="894"/>
      <c r="C37" s="894"/>
      <c r="D37" s="97" t="s">
        <v>63</v>
      </c>
      <c r="E37" s="104" t="str">
        <f>'DATA AWAL NASABAH'!B23</f>
        <v>ALFAMART KALIBEBER MANGGISAN DAN ROJOIMO</v>
      </c>
      <c r="F37" s="104"/>
      <c r="G37" s="104"/>
      <c r="H37" s="104"/>
      <c r="I37" s="104"/>
      <c r="J37" s="104"/>
      <c r="K37" s="104"/>
    </row>
    <row r="38" spans="1:11" x14ac:dyDescent="0.25">
      <c r="A38" s="901" t="s">
        <v>278</v>
      </c>
      <c r="B38" s="901"/>
      <c r="C38" s="901"/>
      <c r="D38" s="97" t="s">
        <v>63</v>
      </c>
      <c r="E38" s="902" t="str">
        <f>'DATA AWAL NASABAH'!B24</f>
        <v>MUDAL WONOSOBO</v>
      </c>
      <c r="F38" s="902"/>
      <c r="G38" s="902"/>
      <c r="H38" s="902"/>
      <c r="I38" s="902"/>
      <c r="J38" s="902"/>
      <c r="K38" s="902"/>
    </row>
    <row r="39" spans="1:11" x14ac:dyDescent="0.25">
      <c r="A39" s="901" t="s">
        <v>279</v>
      </c>
      <c r="B39" s="901"/>
      <c r="C39" s="901"/>
      <c r="D39" s="97" t="s">
        <v>63</v>
      </c>
      <c r="E39" s="901">
        <f>'DATA AWAL NASABAH'!B25</f>
        <v>0</v>
      </c>
      <c r="F39" s="901"/>
      <c r="G39" s="901"/>
      <c r="H39" s="901"/>
      <c r="I39" s="901"/>
      <c r="J39" s="901"/>
      <c r="K39" s="901"/>
    </row>
    <row r="40" spans="1:11" x14ac:dyDescent="0.25">
      <c r="A40" s="901" t="s">
        <v>280</v>
      </c>
      <c r="B40" s="901"/>
      <c r="C40" s="901"/>
      <c r="D40" s="97" t="s">
        <v>63</v>
      </c>
      <c r="E40" s="902" t="s">
        <v>251</v>
      </c>
      <c r="F40" s="902"/>
      <c r="G40" s="902"/>
      <c r="H40" s="106" t="s">
        <v>281</v>
      </c>
      <c r="I40" s="885"/>
      <c r="J40" s="885"/>
      <c r="K40" s="885"/>
    </row>
    <row r="41" spans="1:11" x14ac:dyDescent="0.25">
      <c r="A41" s="901" t="s">
        <v>282</v>
      </c>
      <c r="B41" s="901"/>
      <c r="C41" s="901"/>
      <c r="D41" s="97" t="s">
        <v>63</v>
      </c>
      <c r="E41" s="902" t="str">
        <f>'DATA AWAL NASABAH'!B26</f>
        <v>PERDAGANGAN</v>
      </c>
      <c r="F41" s="902"/>
      <c r="G41" s="902"/>
      <c r="H41" s="902"/>
      <c r="I41" s="902"/>
      <c r="J41" s="902"/>
      <c r="K41" s="902"/>
    </row>
    <row r="42" spans="1:11" x14ac:dyDescent="0.25">
      <c r="A42" s="97" t="s">
        <v>283</v>
      </c>
      <c r="B42" s="97"/>
      <c r="C42" s="97"/>
      <c r="D42" s="97" t="s">
        <v>63</v>
      </c>
      <c r="E42" s="213" t="str">
        <f>'DATA AWAL NASABAH'!B27</f>
        <v>PEMILIK</v>
      </c>
      <c r="F42" s="109"/>
      <c r="G42" s="109"/>
      <c r="H42" s="109"/>
      <c r="I42" s="109"/>
      <c r="J42" s="109"/>
      <c r="K42" s="109"/>
    </row>
    <row r="43" spans="1:11" x14ac:dyDescent="0.25">
      <c r="A43" s="110" t="s">
        <v>284</v>
      </c>
      <c r="B43" s="110"/>
      <c r="C43" s="110"/>
      <c r="D43" s="111" t="s">
        <v>63</v>
      </c>
      <c r="F43" s="102" t="s">
        <v>285</v>
      </c>
      <c r="H43" s="102" t="s">
        <v>286</v>
      </c>
      <c r="J43" s="102" t="s">
        <v>287</v>
      </c>
      <c r="K43" s="102"/>
    </row>
    <row r="44" spans="1:11" x14ac:dyDescent="0.25">
      <c r="A44" s="110"/>
      <c r="B44" s="110"/>
      <c r="C44" s="110"/>
      <c r="D44" s="111"/>
      <c r="F44" s="102" t="s">
        <v>288</v>
      </c>
      <c r="H44" s="102" t="s">
        <v>289</v>
      </c>
      <c r="J44" s="102" t="s">
        <v>264</v>
      </c>
      <c r="K44" s="102"/>
    </row>
    <row r="45" spans="1:11" x14ac:dyDescent="0.25">
      <c r="A45" s="110"/>
      <c r="B45" s="110"/>
      <c r="C45" s="110"/>
      <c r="D45" s="111"/>
      <c r="F45" s="102" t="s">
        <v>290</v>
      </c>
      <c r="H45" s="102" t="s">
        <v>291</v>
      </c>
      <c r="K45" s="102"/>
    </row>
    <row r="46" spans="1:11" x14ac:dyDescent="0.25">
      <c r="A46" s="110"/>
      <c r="B46" s="110"/>
      <c r="C46" s="110"/>
      <c r="D46" s="111"/>
      <c r="F46" s="102" t="s">
        <v>292</v>
      </c>
      <c r="H46" s="102" t="s">
        <v>293</v>
      </c>
      <c r="J46" s="102"/>
      <c r="K46" s="102"/>
    </row>
    <row r="47" spans="1:11" x14ac:dyDescent="0.25">
      <c r="A47" s="110" t="s">
        <v>294</v>
      </c>
      <c r="B47" s="110"/>
      <c r="C47" s="110"/>
      <c r="D47" s="111" t="s">
        <v>63</v>
      </c>
      <c r="F47" s="102" t="s">
        <v>295</v>
      </c>
      <c r="H47" s="102" t="s">
        <v>296</v>
      </c>
      <c r="J47" s="102" t="s">
        <v>297</v>
      </c>
      <c r="K47" s="102"/>
    </row>
    <row r="48" spans="1:11" x14ac:dyDescent="0.25">
      <c r="A48" s="110"/>
      <c r="B48" s="110"/>
      <c r="C48" s="110"/>
      <c r="D48" s="111"/>
      <c r="F48" s="102" t="s">
        <v>298</v>
      </c>
      <c r="H48" s="102" t="s">
        <v>299</v>
      </c>
      <c r="J48" s="102" t="s">
        <v>395</v>
      </c>
      <c r="K48" s="102"/>
    </row>
    <row r="49" spans="1:11" x14ac:dyDescent="0.25">
      <c r="A49" s="102"/>
      <c r="B49" s="102"/>
      <c r="C49" s="102"/>
      <c r="D49" s="97"/>
      <c r="F49" s="102" t="s">
        <v>300</v>
      </c>
      <c r="H49" s="102" t="s">
        <v>301</v>
      </c>
      <c r="I49" s="102"/>
      <c r="J49" s="102"/>
      <c r="K49" s="102"/>
    </row>
    <row r="50" spans="1:11" x14ac:dyDescent="0.25">
      <c r="A50" s="102" t="s">
        <v>302</v>
      </c>
      <c r="B50" s="102"/>
      <c r="C50" s="102"/>
      <c r="D50" s="97" t="s">
        <v>63</v>
      </c>
      <c r="F50" s="102" t="s">
        <v>303</v>
      </c>
      <c r="J50" s="102" t="s">
        <v>304</v>
      </c>
      <c r="K50" s="102"/>
    </row>
    <row r="51" spans="1:11" x14ac:dyDescent="0.25">
      <c r="A51" s="102"/>
      <c r="B51" s="102"/>
      <c r="C51" s="102"/>
      <c r="D51" s="97"/>
      <c r="F51" s="102" t="s">
        <v>305</v>
      </c>
      <c r="J51" s="102" t="s">
        <v>306</v>
      </c>
      <c r="K51" s="102"/>
    </row>
    <row r="52" spans="1:11" x14ac:dyDescent="0.25">
      <c r="A52" s="102"/>
      <c r="B52" s="102"/>
      <c r="C52" s="102"/>
      <c r="D52" s="97"/>
      <c r="F52" s="102" t="s">
        <v>307</v>
      </c>
      <c r="J52" s="102" t="s">
        <v>308</v>
      </c>
      <c r="K52" s="102"/>
    </row>
    <row r="53" spans="1:11" x14ac:dyDescent="0.25">
      <c r="A53" s="102"/>
      <c r="B53" s="102"/>
      <c r="C53" s="102"/>
      <c r="D53" s="97"/>
      <c r="F53" s="102" t="s">
        <v>309</v>
      </c>
      <c r="J53" s="102" t="s">
        <v>310</v>
      </c>
      <c r="K53" s="102"/>
    </row>
    <row r="54" spans="1:11" x14ac:dyDescent="0.25">
      <c r="A54" s="890" t="s">
        <v>311</v>
      </c>
      <c r="B54" s="890"/>
      <c r="C54" s="890"/>
      <c r="D54" s="890" t="s">
        <v>63</v>
      </c>
      <c r="F54" s="102" t="s">
        <v>312</v>
      </c>
      <c r="H54" s="102" t="s">
        <v>313</v>
      </c>
      <c r="J54" s="102" t="s">
        <v>264</v>
      </c>
      <c r="K54" s="102"/>
    </row>
    <row r="55" spans="1:11" x14ac:dyDescent="0.25">
      <c r="A55" s="890"/>
      <c r="B55" s="890"/>
      <c r="C55" s="890"/>
      <c r="D55" s="890"/>
      <c r="F55" s="102" t="s">
        <v>314</v>
      </c>
      <c r="H55" s="102" t="s">
        <v>315</v>
      </c>
      <c r="I55" s="102"/>
      <c r="J55" s="102"/>
      <c r="K55" s="102"/>
    </row>
    <row r="56" spans="1:11" x14ac:dyDescent="0.25">
      <c r="A56" s="205"/>
      <c r="B56" s="205"/>
      <c r="C56" s="205"/>
      <c r="D56" s="205"/>
      <c r="F56" s="102"/>
      <c r="H56" s="102"/>
      <c r="I56" s="102"/>
      <c r="J56" s="102"/>
      <c r="K56" s="102"/>
    </row>
    <row r="57" spans="1:11" x14ac:dyDescent="0.25">
      <c r="A57" s="205"/>
      <c r="B57" s="205"/>
      <c r="C57" s="205"/>
      <c r="D57" s="205"/>
      <c r="F57" s="102"/>
      <c r="H57" s="102"/>
      <c r="I57" s="102"/>
      <c r="J57" s="102"/>
      <c r="K57" s="102"/>
    </row>
    <row r="58" spans="1:11" x14ac:dyDescent="0.25">
      <c r="A58" s="176"/>
      <c r="B58" s="176"/>
      <c r="C58" s="176"/>
      <c r="D58" s="176"/>
      <c r="F58" s="102"/>
      <c r="H58" s="102"/>
      <c r="I58" s="102"/>
      <c r="J58" s="102"/>
      <c r="K58" s="102"/>
    </row>
    <row r="59" spans="1:11" ht="15.75" thickBot="1" x14ac:dyDescent="0.3">
      <c r="A59" s="111"/>
      <c r="B59" s="111"/>
      <c r="C59" s="111"/>
      <c r="D59" s="111"/>
      <c r="E59" s="102"/>
      <c r="F59" s="102"/>
      <c r="G59" s="102"/>
      <c r="H59" s="102"/>
      <c r="I59" s="102"/>
      <c r="J59" s="102"/>
      <c r="K59" s="102"/>
    </row>
    <row r="60" spans="1:11" s="94" customFormat="1" ht="21" customHeight="1" thickBot="1" x14ac:dyDescent="0.3">
      <c r="A60" s="891" t="s">
        <v>316</v>
      </c>
      <c r="B60" s="892"/>
      <c r="C60" s="892"/>
      <c r="D60" s="892"/>
      <c r="E60" s="892"/>
      <c r="F60" s="892"/>
      <c r="G60" s="892"/>
      <c r="H60" s="892"/>
      <c r="I60" s="892"/>
      <c r="J60" s="892"/>
      <c r="K60" s="893"/>
    </row>
    <row r="61" spans="1:11" x14ac:dyDescent="0.25">
      <c r="A61" s="894" t="s">
        <v>317</v>
      </c>
      <c r="B61" s="894"/>
      <c r="C61" s="894"/>
      <c r="D61" s="97"/>
      <c r="E61" s="102"/>
      <c r="F61" s="102"/>
      <c r="G61" s="102"/>
      <c r="H61" s="102"/>
      <c r="I61" s="102"/>
      <c r="J61" s="102"/>
      <c r="K61" s="102"/>
    </row>
    <row r="62" spans="1:11" x14ac:dyDescent="0.25">
      <c r="A62" s="895" t="s">
        <v>318</v>
      </c>
      <c r="B62" s="897" t="s">
        <v>319</v>
      </c>
      <c r="C62" s="898"/>
      <c r="D62" s="897" t="s">
        <v>320</v>
      </c>
      <c r="E62" s="898"/>
      <c r="F62" s="888" t="s">
        <v>321</v>
      </c>
      <c r="G62" s="889"/>
      <c r="H62" s="889"/>
      <c r="I62" s="889"/>
      <c r="J62" s="889"/>
      <c r="K62" s="889"/>
    </row>
    <row r="63" spans="1:11" x14ac:dyDescent="0.25">
      <c r="A63" s="896"/>
      <c r="B63" s="899"/>
      <c r="C63" s="900"/>
      <c r="D63" s="899"/>
      <c r="E63" s="900"/>
      <c r="F63" s="112" t="s">
        <v>322</v>
      </c>
      <c r="G63" s="112" t="s">
        <v>323</v>
      </c>
      <c r="H63" s="112" t="s">
        <v>324</v>
      </c>
      <c r="I63" s="112" t="s">
        <v>325</v>
      </c>
      <c r="J63" s="888" t="s">
        <v>249</v>
      </c>
      <c r="K63" s="889"/>
    </row>
    <row r="64" spans="1:11" x14ac:dyDescent="0.25">
      <c r="A64" s="178"/>
      <c r="B64" s="888"/>
      <c r="C64" s="889"/>
      <c r="D64" s="888"/>
      <c r="E64" s="889"/>
      <c r="F64" s="114"/>
      <c r="G64" s="114"/>
      <c r="H64" s="114"/>
      <c r="I64" s="178"/>
      <c r="J64" s="888"/>
      <c r="K64" s="889"/>
    </row>
    <row r="65" spans="1:11" x14ac:dyDescent="0.25">
      <c r="A65" s="113"/>
      <c r="B65" s="888"/>
      <c r="C65" s="889"/>
      <c r="D65" s="888"/>
      <c r="E65" s="889"/>
      <c r="F65" s="114"/>
      <c r="G65" s="114"/>
      <c r="H65" s="114"/>
      <c r="I65" s="114"/>
      <c r="J65" s="888"/>
      <c r="K65" s="889"/>
    </row>
    <row r="66" spans="1:11" x14ac:dyDescent="0.25">
      <c r="A66" s="113"/>
      <c r="B66" s="888"/>
      <c r="C66" s="889"/>
      <c r="D66" s="888"/>
      <c r="E66" s="889"/>
      <c r="F66" s="114"/>
      <c r="G66" s="114"/>
      <c r="H66" s="114"/>
      <c r="I66" s="114"/>
      <c r="J66" s="888"/>
      <c r="K66" s="889"/>
    </row>
    <row r="67" spans="1:11" x14ac:dyDescent="0.25">
      <c r="A67" s="113"/>
      <c r="B67" s="888"/>
      <c r="C67" s="889"/>
      <c r="D67" s="888"/>
      <c r="E67" s="889"/>
      <c r="F67" s="114"/>
      <c r="G67" s="114"/>
      <c r="H67" s="114"/>
      <c r="I67" s="114"/>
      <c r="J67" s="888"/>
      <c r="K67" s="889"/>
    </row>
    <row r="68" spans="1:11" x14ac:dyDescent="0.25">
      <c r="A68" s="113"/>
      <c r="B68" s="888"/>
      <c r="C68" s="889"/>
      <c r="D68" s="888"/>
      <c r="E68" s="889"/>
      <c r="F68" s="114"/>
      <c r="G68" s="114"/>
      <c r="H68" s="114"/>
      <c r="I68" s="114"/>
      <c r="J68" s="888"/>
      <c r="K68" s="889"/>
    </row>
    <row r="69" spans="1:11" x14ac:dyDescent="0.25">
      <c r="A69" s="102"/>
      <c r="B69" s="102"/>
      <c r="C69" s="102"/>
      <c r="D69" s="97"/>
      <c r="E69" s="102"/>
      <c r="F69" s="102"/>
      <c r="G69" s="102"/>
      <c r="H69" s="102"/>
      <c r="I69" s="102"/>
      <c r="J69" s="102"/>
      <c r="K69" s="102"/>
    </row>
    <row r="70" spans="1:11" x14ac:dyDescent="0.25">
      <c r="A70" s="102" t="s">
        <v>326</v>
      </c>
      <c r="B70" s="102"/>
      <c r="C70" s="102"/>
    </row>
    <row r="71" spans="1:11" x14ac:dyDescent="0.25">
      <c r="A71" s="112" t="s">
        <v>318</v>
      </c>
      <c r="B71" s="888" t="s">
        <v>327</v>
      </c>
      <c r="C71" s="888"/>
      <c r="D71" s="888"/>
      <c r="E71" s="888"/>
      <c r="F71" s="888" t="s">
        <v>328</v>
      </c>
      <c r="G71" s="888"/>
      <c r="H71" s="888"/>
      <c r="I71" s="888" t="s">
        <v>319</v>
      </c>
      <c r="J71" s="888"/>
      <c r="K71" s="888"/>
    </row>
    <row r="72" spans="1:11" x14ac:dyDescent="0.25">
      <c r="A72" s="112"/>
      <c r="B72" s="888"/>
      <c r="C72" s="888"/>
      <c r="D72" s="888"/>
      <c r="E72" s="888"/>
      <c r="F72" s="888"/>
      <c r="G72" s="888"/>
      <c r="H72" s="888"/>
      <c r="I72" s="888"/>
      <c r="J72" s="888"/>
      <c r="K72" s="888"/>
    </row>
    <row r="73" spans="1:11" x14ac:dyDescent="0.25">
      <c r="A73" s="112"/>
      <c r="B73" s="888"/>
      <c r="C73" s="888"/>
      <c r="D73" s="888"/>
      <c r="E73" s="888"/>
      <c r="F73" s="888"/>
      <c r="G73" s="888"/>
      <c r="H73" s="888"/>
      <c r="I73" s="888"/>
      <c r="J73" s="888"/>
      <c r="K73" s="888"/>
    </row>
    <row r="74" spans="1:11" x14ac:dyDescent="0.25">
      <c r="A74" s="112"/>
      <c r="B74" s="888"/>
      <c r="C74" s="888"/>
      <c r="D74" s="888"/>
      <c r="E74" s="888"/>
      <c r="F74" s="888"/>
      <c r="G74" s="888"/>
      <c r="H74" s="888"/>
      <c r="I74" s="888"/>
      <c r="J74" s="888"/>
      <c r="K74" s="888"/>
    </row>
    <row r="75" spans="1:11" x14ac:dyDescent="0.25">
      <c r="A75" s="102"/>
      <c r="B75" s="102"/>
      <c r="C75" s="102"/>
      <c r="D75" s="97"/>
      <c r="E75" s="102"/>
      <c r="F75" s="102"/>
      <c r="G75" s="102"/>
      <c r="H75" s="102"/>
      <c r="I75" s="102"/>
      <c r="J75" s="102"/>
      <c r="K75" s="102"/>
    </row>
    <row r="76" spans="1:11" x14ac:dyDescent="0.25">
      <c r="A76" s="877" t="s">
        <v>329</v>
      </c>
      <c r="B76" s="877"/>
      <c r="C76" s="877"/>
      <c r="D76" s="877"/>
      <c r="E76" s="877"/>
      <c r="F76" s="877"/>
      <c r="G76" s="877"/>
      <c r="H76" s="877"/>
      <c r="I76" s="877"/>
      <c r="J76" s="877"/>
      <c r="K76" s="877"/>
    </row>
    <row r="77" spans="1:11" x14ac:dyDescent="0.25">
      <c r="A77" s="878"/>
      <c r="B77" s="879"/>
      <c r="C77" s="879"/>
      <c r="D77" s="879"/>
      <c r="E77" s="879"/>
      <c r="F77" s="879"/>
      <c r="G77" s="879"/>
      <c r="H77" s="879"/>
      <c r="I77" s="879"/>
      <c r="J77" s="879"/>
      <c r="K77" s="880"/>
    </row>
    <row r="78" spans="1:11" x14ac:dyDescent="0.25">
      <c r="A78" s="881"/>
      <c r="B78" s="882"/>
      <c r="C78" s="882"/>
      <c r="D78" s="882"/>
      <c r="E78" s="882"/>
      <c r="F78" s="882"/>
      <c r="G78" s="882"/>
      <c r="H78" s="882"/>
      <c r="I78" s="882"/>
      <c r="J78" s="882"/>
      <c r="K78" s="883"/>
    </row>
    <row r="79" spans="1:11" x14ac:dyDescent="0.25">
      <c r="A79" s="881"/>
      <c r="B79" s="882"/>
      <c r="C79" s="882"/>
      <c r="D79" s="882"/>
      <c r="E79" s="882"/>
      <c r="F79" s="882"/>
      <c r="G79" s="882"/>
      <c r="H79" s="882"/>
      <c r="I79" s="882"/>
      <c r="J79" s="882"/>
      <c r="K79" s="883"/>
    </row>
    <row r="80" spans="1:11" x14ac:dyDescent="0.25">
      <c r="A80" s="881"/>
      <c r="B80" s="882"/>
      <c r="C80" s="882"/>
      <c r="D80" s="882"/>
      <c r="E80" s="882"/>
      <c r="F80" s="882"/>
      <c r="G80" s="882"/>
      <c r="H80" s="882"/>
      <c r="I80" s="882"/>
      <c r="J80" s="882"/>
      <c r="K80" s="883"/>
    </row>
    <row r="81" spans="1:11" x14ac:dyDescent="0.25">
      <c r="A81" s="881"/>
      <c r="B81" s="882"/>
      <c r="C81" s="882"/>
      <c r="D81" s="882"/>
      <c r="E81" s="882"/>
      <c r="F81" s="882"/>
      <c r="G81" s="882"/>
      <c r="H81" s="882"/>
      <c r="I81" s="882"/>
      <c r="J81" s="882"/>
      <c r="K81" s="883"/>
    </row>
    <row r="82" spans="1:11" x14ac:dyDescent="0.25">
      <c r="A82" s="884"/>
      <c r="B82" s="885"/>
      <c r="C82" s="885"/>
      <c r="D82" s="885"/>
      <c r="E82" s="885"/>
      <c r="F82" s="885"/>
      <c r="G82" s="885"/>
      <c r="H82" s="885"/>
      <c r="I82" s="885"/>
      <c r="J82" s="885"/>
      <c r="K82" s="886"/>
    </row>
    <row r="83" spans="1:11" x14ac:dyDescent="0.25">
      <c r="A83" s="102"/>
      <c r="B83" s="102"/>
      <c r="C83" s="102"/>
      <c r="D83" s="97"/>
      <c r="E83" s="102"/>
      <c r="F83" s="102"/>
      <c r="G83" s="102"/>
      <c r="H83" s="102"/>
      <c r="I83" s="102"/>
      <c r="J83" s="102"/>
      <c r="K83" s="102"/>
    </row>
    <row r="84" spans="1:11" x14ac:dyDescent="0.25">
      <c r="A84" s="102" t="s">
        <v>330</v>
      </c>
      <c r="B84" s="102"/>
      <c r="C84" s="102"/>
      <c r="D84" s="97"/>
      <c r="E84" s="102"/>
      <c r="F84" s="102"/>
      <c r="G84" s="102"/>
      <c r="H84" s="102"/>
      <c r="I84" s="102"/>
      <c r="J84" s="102"/>
      <c r="K84" s="102"/>
    </row>
    <row r="85" spans="1:11" x14ac:dyDescent="0.25">
      <c r="A85" s="115"/>
      <c r="B85" s="115"/>
      <c r="C85" s="115"/>
      <c r="D85" s="115"/>
      <c r="E85" s="115"/>
      <c r="F85" s="115"/>
      <c r="G85" s="115"/>
      <c r="H85" s="115"/>
      <c r="I85" s="115"/>
      <c r="J85" s="115"/>
      <c r="K85" s="115"/>
    </row>
    <row r="86" spans="1:11" x14ac:dyDescent="0.25">
      <c r="A86" s="115"/>
      <c r="B86" s="115"/>
      <c r="C86" s="115"/>
      <c r="D86" s="115"/>
      <c r="E86" s="115"/>
      <c r="F86" s="115"/>
      <c r="G86" s="115"/>
      <c r="H86" s="115"/>
      <c r="I86" s="115"/>
      <c r="J86" s="115"/>
      <c r="K86" s="115"/>
    </row>
    <row r="87" spans="1:11" x14ac:dyDescent="0.25">
      <c r="A87" s="115"/>
      <c r="B87" s="115"/>
      <c r="C87" s="115"/>
      <c r="D87" s="115"/>
      <c r="E87" s="115"/>
      <c r="F87" s="115"/>
      <c r="G87" s="115"/>
      <c r="H87" s="115"/>
      <c r="I87" s="115"/>
      <c r="J87" s="115"/>
      <c r="K87" s="115"/>
    </row>
    <row r="88" spans="1:11" x14ac:dyDescent="0.25">
      <c r="A88" s="115"/>
      <c r="B88" s="115"/>
      <c r="C88" s="115"/>
      <c r="D88" s="115"/>
      <c r="E88" s="115"/>
      <c r="F88" s="115"/>
      <c r="G88" s="115"/>
      <c r="H88" s="115"/>
      <c r="I88" s="115"/>
      <c r="J88" s="115"/>
      <c r="K88" s="115"/>
    </row>
    <row r="89" spans="1:11" x14ac:dyDescent="0.25">
      <c r="A89" s="115"/>
      <c r="B89" s="115"/>
      <c r="C89" s="115"/>
      <c r="D89" s="115"/>
      <c r="E89" s="115"/>
      <c r="F89" s="115"/>
      <c r="G89" s="115"/>
      <c r="H89" s="115"/>
      <c r="I89" s="115"/>
      <c r="J89" s="115"/>
      <c r="K89" s="115"/>
    </row>
    <row r="90" spans="1:11" x14ac:dyDescent="0.25">
      <c r="A90" s="102"/>
      <c r="B90" s="102"/>
      <c r="C90" s="102"/>
      <c r="D90" s="97"/>
      <c r="E90" s="102"/>
      <c r="F90" s="102"/>
      <c r="G90" s="102"/>
      <c r="H90" s="102"/>
      <c r="I90" s="102"/>
      <c r="J90" s="102"/>
      <c r="K90" s="102"/>
    </row>
    <row r="91" spans="1:11" x14ac:dyDescent="0.25">
      <c r="A91" s="102"/>
      <c r="B91" s="102"/>
      <c r="C91" s="102"/>
      <c r="D91" s="97"/>
      <c r="E91" s="102"/>
      <c r="F91" s="102"/>
      <c r="G91" s="102"/>
      <c r="H91" s="102"/>
      <c r="I91" s="102" t="s">
        <v>331</v>
      </c>
      <c r="J91" s="170"/>
      <c r="K91" s="102"/>
    </row>
    <row r="92" spans="1:11" x14ac:dyDescent="0.25">
      <c r="A92" s="102"/>
      <c r="B92" s="102"/>
      <c r="C92" s="102"/>
      <c r="D92" s="97"/>
      <c r="E92" s="102"/>
      <c r="F92" s="102"/>
      <c r="G92" s="102"/>
      <c r="H92" s="102"/>
      <c r="I92" s="102"/>
      <c r="J92" s="102"/>
      <c r="K92" s="102"/>
    </row>
    <row r="93" spans="1:11" x14ac:dyDescent="0.25">
      <c r="A93" s="102"/>
      <c r="B93" s="102"/>
      <c r="C93" s="102"/>
      <c r="D93" s="97"/>
      <c r="E93" s="102"/>
      <c r="F93" s="102"/>
      <c r="G93" s="102"/>
      <c r="H93" s="102"/>
      <c r="I93" s="102"/>
      <c r="J93" s="102"/>
      <c r="K93" s="102"/>
    </row>
    <row r="94" spans="1:11" x14ac:dyDescent="0.25">
      <c r="A94" s="102"/>
      <c r="B94" s="102"/>
      <c r="C94" s="102"/>
      <c r="D94" s="97"/>
      <c r="E94" s="102"/>
      <c r="F94" s="102"/>
      <c r="G94" s="102"/>
      <c r="H94" s="102"/>
      <c r="I94" s="102"/>
      <c r="J94" s="102"/>
      <c r="K94" s="102"/>
    </row>
    <row r="95" spans="1:11" x14ac:dyDescent="0.25">
      <c r="A95" s="102"/>
      <c r="B95" s="102"/>
      <c r="C95" s="102"/>
      <c r="D95" s="97"/>
      <c r="E95" s="102"/>
      <c r="F95" s="102"/>
      <c r="G95" s="102"/>
      <c r="H95" s="102"/>
      <c r="I95" s="885" t="str">
        <f>'DATA AWAL NASABAH'!B2</f>
        <v>DYAH RETNO SULISTYOWATI</v>
      </c>
      <c r="J95" s="885"/>
      <c r="K95" s="885"/>
    </row>
    <row r="96" spans="1:11" x14ac:dyDescent="0.25">
      <c r="A96" s="102"/>
      <c r="B96" s="102"/>
      <c r="C96" s="102"/>
      <c r="D96" s="97"/>
      <c r="E96" s="102"/>
      <c r="F96" s="102"/>
      <c r="G96" s="102"/>
      <c r="H96" s="102"/>
      <c r="I96" s="879" t="s">
        <v>332</v>
      </c>
      <c r="J96" s="879"/>
      <c r="K96" s="879"/>
    </row>
    <row r="97" spans="1:11" x14ac:dyDescent="0.25">
      <c r="A97" s="102"/>
      <c r="B97" s="102"/>
      <c r="C97" s="102"/>
      <c r="D97" s="97"/>
      <c r="E97" s="102"/>
      <c r="F97" s="102"/>
      <c r="G97" s="102"/>
      <c r="H97" s="102"/>
      <c r="I97" s="102"/>
      <c r="J97" s="102"/>
      <c r="K97" s="102"/>
    </row>
    <row r="98" spans="1:11" x14ac:dyDescent="0.25">
      <c r="A98" s="906" t="s">
        <v>333</v>
      </c>
      <c r="B98" s="906"/>
      <c r="C98" s="906"/>
      <c r="D98" s="906"/>
      <c r="E98" s="906"/>
      <c r="F98" s="906"/>
      <c r="G98" s="906"/>
      <c r="H98" s="906"/>
      <c r="I98" s="906"/>
      <c r="J98" s="906"/>
      <c r="K98" s="906"/>
    </row>
    <row r="99" spans="1:11" x14ac:dyDescent="0.25">
      <c r="B99" s="116"/>
      <c r="C99" s="116"/>
      <c r="D99" s="116"/>
      <c r="E99" s="116"/>
      <c r="F99" s="116"/>
      <c r="G99" s="116"/>
      <c r="H99" s="116"/>
      <c r="I99" s="116"/>
      <c r="J99" s="116"/>
      <c r="K99" s="116"/>
    </row>
    <row r="100" spans="1:11" x14ac:dyDescent="0.25">
      <c r="A100" s="102"/>
      <c r="B100" s="102"/>
      <c r="C100" s="102"/>
      <c r="D100" s="97"/>
      <c r="E100" s="102"/>
      <c r="F100" s="102"/>
      <c r="G100" s="102"/>
      <c r="H100" s="102"/>
      <c r="I100" s="102"/>
      <c r="J100" s="102"/>
      <c r="K100" s="102"/>
    </row>
    <row r="101" spans="1:11" x14ac:dyDescent="0.25">
      <c r="A101" s="102"/>
      <c r="B101" s="102"/>
      <c r="C101" s="102"/>
      <c r="D101" s="97"/>
      <c r="E101" s="102"/>
      <c r="F101" s="102"/>
      <c r="G101" s="102"/>
      <c r="H101" s="102"/>
      <c r="I101" s="102"/>
      <c r="J101" s="102"/>
      <c r="K101" s="102"/>
    </row>
    <row r="102" spans="1:11" x14ac:dyDescent="0.25">
      <c r="A102" s="102"/>
      <c r="B102" s="885" t="str">
        <f>'DATA AWAL NASABAH'!B30</f>
        <v>ADRIAN WAHYU P</v>
      </c>
      <c r="C102" s="885"/>
      <c r="D102" s="102"/>
      <c r="E102" s="885" t="s">
        <v>719</v>
      </c>
      <c r="F102" s="885"/>
      <c r="G102" s="115"/>
      <c r="H102" s="734"/>
      <c r="I102" s="735" t="s">
        <v>753</v>
      </c>
      <c r="J102" s="734"/>
      <c r="K102" s="734"/>
    </row>
    <row r="103" spans="1:11" x14ac:dyDescent="0.25">
      <c r="A103" s="102"/>
      <c r="B103" s="879" t="s">
        <v>334</v>
      </c>
      <c r="C103" s="879"/>
      <c r="D103" s="102"/>
      <c r="E103" s="882" t="s">
        <v>335</v>
      </c>
      <c r="F103" s="882"/>
      <c r="G103" s="115"/>
      <c r="H103" s="103"/>
      <c r="I103" s="103" t="s">
        <v>336</v>
      </c>
      <c r="J103" s="103"/>
      <c r="K103" s="103"/>
    </row>
    <row r="104" spans="1:11" x14ac:dyDescent="0.25">
      <c r="A104" s="102"/>
      <c r="B104" s="117"/>
      <c r="C104" s="117"/>
      <c r="D104" s="117"/>
      <c r="E104" s="117"/>
      <c r="F104" s="117"/>
      <c r="G104" s="117"/>
      <c r="H104" s="117"/>
      <c r="I104" s="117"/>
      <c r="J104" s="117"/>
      <c r="K104" s="103"/>
    </row>
    <row r="105" spans="1:11" x14ac:dyDescent="0.25">
      <c r="A105" s="102"/>
      <c r="B105" s="103"/>
      <c r="C105" s="103"/>
      <c r="D105" s="103"/>
      <c r="E105" s="103"/>
      <c r="F105" s="103"/>
      <c r="G105" s="103"/>
      <c r="H105" s="103"/>
      <c r="I105" s="103"/>
      <c r="J105" s="103"/>
      <c r="K105" s="103"/>
    </row>
    <row r="106" spans="1:11" x14ac:dyDescent="0.25">
      <c r="A106" s="102"/>
      <c r="B106" s="102"/>
      <c r="C106" s="102"/>
      <c r="D106" s="97"/>
      <c r="E106" s="102"/>
      <c r="F106" s="102"/>
      <c r="G106" s="102"/>
      <c r="H106" s="102"/>
      <c r="I106" s="102"/>
      <c r="J106" s="102"/>
      <c r="K106" s="102"/>
    </row>
  </sheetData>
  <mergeCells count="90">
    <mergeCell ref="I96:K96"/>
    <mergeCell ref="I95:K95"/>
    <mergeCell ref="B103:C103"/>
    <mergeCell ref="A98:K98"/>
    <mergeCell ref="B102:C102"/>
    <mergeCell ref="E102:F102"/>
    <mergeCell ref="E103:F103"/>
    <mergeCell ref="A14:C14"/>
    <mergeCell ref="A1:K1"/>
    <mergeCell ref="A2:K2"/>
    <mergeCell ref="A5:K5"/>
    <mergeCell ref="A7:C7"/>
    <mergeCell ref="E7:K7"/>
    <mergeCell ref="A8:C8"/>
    <mergeCell ref="A9:C9"/>
    <mergeCell ref="A10:C10"/>
    <mergeCell ref="A11:C11"/>
    <mergeCell ref="A12:C12"/>
    <mergeCell ref="A13:C13"/>
    <mergeCell ref="A26:C26"/>
    <mergeCell ref="A15:C15"/>
    <mergeCell ref="A16:C16"/>
    <mergeCell ref="A17:C17"/>
    <mergeCell ref="A18:C18"/>
    <mergeCell ref="A20:C20"/>
    <mergeCell ref="A21:C21"/>
    <mergeCell ref="E21:K21"/>
    <mergeCell ref="A22:C22"/>
    <mergeCell ref="H22:K22"/>
    <mergeCell ref="A23:C23"/>
    <mergeCell ref="A24:C24"/>
    <mergeCell ref="A28:K28"/>
    <mergeCell ref="A29:C29"/>
    <mergeCell ref="A30:C30"/>
    <mergeCell ref="A31:C31"/>
    <mergeCell ref="A32:C32"/>
    <mergeCell ref="E32:K32"/>
    <mergeCell ref="A41:C41"/>
    <mergeCell ref="E41:K41"/>
    <mergeCell ref="A33:C33"/>
    <mergeCell ref="A34:C34"/>
    <mergeCell ref="E34:K34"/>
    <mergeCell ref="A36:K36"/>
    <mergeCell ref="A37:C37"/>
    <mergeCell ref="A38:C38"/>
    <mergeCell ref="E38:K38"/>
    <mergeCell ref="A39:C39"/>
    <mergeCell ref="E39:K39"/>
    <mergeCell ref="A40:C40"/>
    <mergeCell ref="E40:G40"/>
    <mergeCell ref="I40:K40"/>
    <mergeCell ref="A54:C55"/>
    <mergeCell ref="D54:D55"/>
    <mergeCell ref="A60:K60"/>
    <mergeCell ref="A61:C61"/>
    <mergeCell ref="A62:A63"/>
    <mergeCell ref="B62:C63"/>
    <mergeCell ref="D62:E63"/>
    <mergeCell ref="F62:K62"/>
    <mergeCell ref="J63:K63"/>
    <mergeCell ref="D67:E67"/>
    <mergeCell ref="J67:K67"/>
    <mergeCell ref="B68:C68"/>
    <mergeCell ref="D68:E68"/>
    <mergeCell ref="B64:C64"/>
    <mergeCell ref="D64:E64"/>
    <mergeCell ref="J64:K64"/>
    <mergeCell ref="J68:K68"/>
    <mergeCell ref="B65:C65"/>
    <mergeCell ref="D65:E65"/>
    <mergeCell ref="J65:K65"/>
    <mergeCell ref="B66:C66"/>
    <mergeCell ref="D66:E66"/>
    <mergeCell ref="J66:K66"/>
    <mergeCell ref="A76:K76"/>
    <mergeCell ref="A77:K82"/>
    <mergeCell ref="E14:F14"/>
    <mergeCell ref="B73:E73"/>
    <mergeCell ref="F73:H73"/>
    <mergeCell ref="I73:K73"/>
    <mergeCell ref="B74:E74"/>
    <mergeCell ref="F74:H74"/>
    <mergeCell ref="I74:K74"/>
    <mergeCell ref="B71:E71"/>
    <mergeCell ref="F71:H71"/>
    <mergeCell ref="I71:K71"/>
    <mergeCell ref="B72:E72"/>
    <mergeCell ref="F72:H72"/>
    <mergeCell ref="I72:K72"/>
    <mergeCell ref="B67:C67"/>
  </mergeCells>
  <pageMargins left="0.25" right="0.25" top="0.75" bottom="0.75" header="0.3" footer="0.3"/>
  <pageSetup paperSize="5" orientation="portrait" horizontalDpi="4294967293" verticalDpi="18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95DB5-9D3F-4D7F-AF8C-A062DF5560E7}">
  <sheetPr>
    <tabColor rgb="FFFF0000"/>
  </sheetPr>
  <dimension ref="A1:F59"/>
  <sheetViews>
    <sheetView zoomScale="70" zoomScaleNormal="70" workbookViewId="0">
      <selection activeCell="E9" sqref="E9"/>
    </sheetView>
  </sheetViews>
  <sheetFormatPr defaultColWidth="8.85546875" defaultRowHeight="17.25" x14ac:dyDescent="0.3"/>
  <cols>
    <col min="1" max="1" width="45.7109375" style="2" bestFit="1" customWidth="1"/>
    <col min="2" max="2" width="23.42578125" style="52" customWidth="1"/>
    <col min="3" max="3" width="30.28515625" style="2" customWidth="1"/>
    <col min="4" max="4" width="45.7109375" style="2" bestFit="1" customWidth="1"/>
    <col min="5" max="5" width="21.85546875" style="2" bestFit="1" customWidth="1"/>
    <col min="6" max="6" width="42.85546875" style="382" bestFit="1" customWidth="1"/>
    <col min="7" max="8" width="1.42578125" style="2" customWidth="1"/>
    <col min="9" max="9" width="20.42578125" style="2" bestFit="1" customWidth="1"/>
    <col min="10" max="10" width="1.85546875" style="2" bestFit="1" customWidth="1"/>
    <col min="11" max="11" width="16" style="2" bestFit="1" customWidth="1"/>
    <col min="12" max="12" width="14.5703125" style="2" bestFit="1" customWidth="1"/>
    <col min="13" max="16384" width="8.85546875" style="2"/>
  </cols>
  <sheetData>
    <row r="1" spans="1:6" ht="17.25" customHeight="1" thickBot="1" x14ac:dyDescent="0.35">
      <c r="A1" s="909"/>
      <c r="B1" s="910"/>
      <c r="C1" s="910"/>
      <c r="D1" s="910"/>
      <c r="E1" s="910"/>
      <c r="F1" s="910"/>
    </row>
    <row r="2" spans="1:6" ht="20.25" customHeight="1" x14ac:dyDescent="0.25">
      <c r="A2" s="911" t="s">
        <v>726</v>
      </c>
      <c r="B2" s="912"/>
      <c r="C2" s="912"/>
      <c r="D2" s="912"/>
      <c r="E2" s="912"/>
      <c r="F2" s="913"/>
    </row>
    <row r="3" spans="1:6" ht="15.75" customHeight="1" thickBot="1" x14ac:dyDescent="0.3">
      <c r="A3" s="914"/>
      <c r="B3" s="915"/>
      <c r="C3" s="915"/>
      <c r="D3" s="915"/>
      <c r="E3" s="915"/>
      <c r="F3" s="916"/>
    </row>
    <row r="4" spans="1:6" ht="19.5" customHeight="1" x14ac:dyDescent="0.25">
      <c r="A4" s="917" t="s">
        <v>414</v>
      </c>
      <c r="B4" s="918"/>
      <c r="C4" s="919"/>
      <c r="D4" s="917" t="s">
        <v>416</v>
      </c>
      <c r="E4" s="918"/>
      <c r="F4" s="919"/>
    </row>
    <row r="5" spans="1:6" s="52" customFormat="1" ht="27" customHeight="1" thickBot="1" x14ac:dyDescent="0.3">
      <c r="A5" s="786" t="s">
        <v>720</v>
      </c>
      <c r="B5" s="787" t="s">
        <v>721</v>
      </c>
      <c r="C5" s="787" t="s">
        <v>722</v>
      </c>
      <c r="D5" s="787" t="s">
        <v>720</v>
      </c>
      <c r="E5" s="787" t="s">
        <v>721</v>
      </c>
      <c r="F5" s="788" t="s">
        <v>722</v>
      </c>
    </row>
    <row r="6" spans="1:6" x14ac:dyDescent="0.3">
      <c r="A6" s="293"/>
      <c r="B6" s="294"/>
      <c r="C6" s="295"/>
      <c r="D6" s="293"/>
      <c r="E6" s="294"/>
      <c r="F6" s="295"/>
    </row>
    <row r="7" spans="1:6" x14ac:dyDescent="0.3">
      <c r="A7" s="273"/>
      <c r="B7" s="789"/>
      <c r="C7" s="283"/>
      <c r="D7" s="273"/>
      <c r="E7" s="274"/>
      <c r="F7" s="283"/>
    </row>
    <row r="8" spans="1:6" x14ac:dyDescent="0.3">
      <c r="A8" s="273"/>
      <c r="B8" s="789"/>
      <c r="C8" s="279"/>
      <c r="D8" s="273"/>
      <c r="E8" s="274"/>
      <c r="F8" s="279"/>
    </row>
    <row r="9" spans="1:6" x14ac:dyDescent="0.3">
      <c r="A9" s="273" t="s">
        <v>723</v>
      </c>
      <c r="B9" s="275">
        <v>4000000000</v>
      </c>
      <c r="C9" s="279"/>
      <c r="D9" s="273" t="str">
        <f>A9</f>
        <v>PINJAMAN BANK WONOSOBO</v>
      </c>
      <c r="E9" s="275">
        <f>B9</f>
        <v>4000000000</v>
      </c>
      <c r="F9" s="279" t="s">
        <v>725</v>
      </c>
    </row>
    <row r="10" spans="1:6" x14ac:dyDescent="0.3">
      <c r="A10" s="273"/>
      <c r="B10" s="275"/>
      <c r="C10" s="283"/>
      <c r="D10" s="273"/>
      <c r="E10" s="275"/>
      <c r="F10" s="279"/>
    </row>
    <row r="11" spans="1:6" x14ac:dyDescent="0.3">
      <c r="A11" s="273"/>
      <c r="B11" s="275"/>
      <c r="C11" s="283"/>
      <c r="D11" s="273"/>
      <c r="E11" s="275"/>
      <c r="F11" s="279"/>
    </row>
    <row r="12" spans="1:6" x14ac:dyDescent="0.3">
      <c r="A12" s="273"/>
      <c r="B12" s="275"/>
      <c r="C12" s="283"/>
      <c r="D12" s="11"/>
      <c r="E12" s="274"/>
      <c r="F12" s="279"/>
    </row>
    <row r="13" spans="1:6" x14ac:dyDescent="0.3">
      <c r="A13" s="790" t="s">
        <v>509</v>
      </c>
      <c r="B13" s="791">
        <f>SUM(B9:B11)</f>
        <v>4000000000</v>
      </c>
      <c r="C13" s="709"/>
      <c r="D13" s="790" t="s">
        <v>509</v>
      </c>
      <c r="E13" s="791">
        <f>SUM(E9:E11)</f>
        <v>4000000000</v>
      </c>
      <c r="F13" s="279"/>
    </row>
    <row r="14" spans="1:6" x14ac:dyDescent="0.3">
      <c r="A14" s="273"/>
      <c r="B14" s="789"/>
      <c r="C14" s="283"/>
      <c r="D14" s="273"/>
      <c r="E14" s="274"/>
      <c r="F14" s="283"/>
    </row>
    <row r="15" spans="1:6" ht="18" thickBot="1" x14ac:dyDescent="0.35">
      <c r="A15" s="276"/>
      <c r="B15" s="792"/>
      <c r="C15" s="297"/>
      <c r="D15" s="276"/>
      <c r="E15" s="277"/>
      <c r="F15" s="297"/>
    </row>
    <row r="16" spans="1:6" ht="18" customHeight="1" thickBot="1" x14ac:dyDescent="0.35">
      <c r="A16" s="11"/>
      <c r="B16" s="429"/>
      <c r="C16" s="11"/>
      <c r="D16" s="11"/>
      <c r="E16" s="11"/>
      <c r="F16" s="274"/>
    </row>
    <row r="17" spans="1:6" ht="18" customHeight="1" x14ac:dyDescent="0.25">
      <c r="A17" s="911" t="s">
        <v>727</v>
      </c>
      <c r="B17" s="912"/>
      <c r="C17" s="912"/>
      <c r="D17" s="912"/>
      <c r="E17" s="912"/>
      <c r="F17" s="913"/>
    </row>
    <row r="18" spans="1:6" ht="18" customHeight="1" thickBot="1" x14ac:dyDescent="0.3">
      <c r="A18" s="914"/>
      <c r="B18" s="915"/>
      <c r="C18" s="915"/>
      <c r="D18" s="915"/>
      <c r="E18" s="915"/>
      <c r="F18" s="916"/>
    </row>
    <row r="19" spans="1:6" ht="18" customHeight="1" x14ac:dyDescent="0.25">
      <c r="A19" s="917" t="s">
        <v>414</v>
      </c>
      <c r="B19" s="918"/>
      <c r="C19" s="919"/>
      <c r="D19" s="917" t="s">
        <v>416</v>
      </c>
      <c r="E19" s="918"/>
      <c r="F19" s="919"/>
    </row>
    <row r="20" spans="1:6" ht="18" customHeight="1" thickBot="1" x14ac:dyDescent="0.3">
      <c r="A20" s="786" t="s">
        <v>720</v>
      </c>
      <c r="B20" s="787" t="s">
        <v>721</v>
      </c>
      <c r="C20" s="787" t="s">
        <v>722</v>
      </c>
      <c r="D20" s="787" t="s">
        <v>720</v>
      </c>
      <c r="E20" s="787" t="s">
        <v>721</v>
      </c>
      <c r="F20" s="788" t="s">
        <v>722</v>
      </c>
    </row>
    <row r="21" spans="1:6" ht="16.5" customHeight="1" x14ac:dyDescent="0.3">
      <c r="A21" s="293"/>
      <c r="B21" s="294"/>
      <c r="C21" s="295"/>
      <c r="D21" s="293"/>
      <c r="E21" s="294"/>
      <c r="F21" s="295"/>
    </row>
    <row r="22" spans="1:6" ht="18" customHeight="1" x14ac:dyDescent="0.3">
      <c r="A22" s="273"/>
      <c r="B22" s="789"/>
      <c r="C22" s="283"/>
      <c r="D22" s="273"/>
      <c r="E22" s="274"/>
      <c r="F22" s="283"/>
    </row>
    <row r="23" spans="1:6" ht="18" customHeight="1" x14ac:dyDescent="0.3">
      <c r="A23" s="273"/>
      <c r="B23" s="789"/>
      <c r="C23" s="279"/>
      <c r="D23" s="273"/>
      <c r="E23" s="274"/>
      <c r="F23" s="279"/>
    </row>
    <row r="24" spans="1:6" ht="18" customHeight="1" x14ac:dyDescent="0.3">
      <c r="A24" s="273" t="s">
        <v>724</v>
      </c>
      <c r="B24" s="275">
        <v>350000</v>
      </c>
      <c r="C24" s="279"/>
      <c r="D24" s="273" t="str">
        <f>A24</f>
        <v>PINJAMAN BANK CIMB NIAGA</v>
      </c>
      <c r="E24" s="275">
        <f>B24</f>
        <v>350000</v>
      </c>
      <c r="F24" s="279" t="s">
        <v>725</v>
      </c>
    </row>
    <row r="25" spans="1:6" ht="18" customHeight="1" x14ac:dyDescent="0.3">
      <c r="A25" s="273"/>
      <c r="B25" s="275"/>
      <c r="C25" s="283"/>
      <c r="D25" s="273"/>
      <c r="E25" s="275"/>
      <c r="F25" s="279"/>
    </row>
    <row r="26" spans="1:6" ht="18" customHeight="1" x14ac:dyDescent="0.3">
      <c r="A26" s="273"/>
      <c r="B26" s="275"/>
      <c r="C26" s="283"/>
      <c r="D26" s="273"/>
      <c r="E26" s="275"/>
      <c r="F26" s="279"/>
    </row>
    <row r="27" spans="1:6" ht="18" customHeight="1" x14ac:dyDescent="0.3">
      <c r="A27" s="273"/>
      <c r="B27" s="275"/>
      <c r="C27" s="283"/>
      <c r="D27" s="11"/>
      <c r="E27" s="274"/>
      <c r="F27" s="279"/>
    </row>
    <row r="28" spans="1:6" ht="18" customHeight="1" x14ac:dyDescent="0.3">
      <c r="A28" s="790" t="s">
        <v>509</v>
      </c>
      <c r="B28" s="791">
        <f>SUM(B24:B26)</f>
        <v>350000</v>
      </c>
      <c r="C28" s="709"/>
      <c r="D28" s="790" t="s">
        <v>509</v>
      </c>
      <c r="E28" s="791">
        <f>SUM(E24:E26)</f>
        <v>350000</v>
      </c>
      <c r="F28" s="279"/>
    </row>
    <row r="29" spans="1:6" ht="18" customHeight="1" x14ac:dyDescent="0.3">
      <c r="A29" s="273"/>
      <c r="B29" s="789"/>
      <c r="C29" s="283"/>
      <c r="D29" s="273"/>
      <c r="E29" s="274"/>
      <c r="F29" s="283"/>
    </row>
    <row r="30" spans="1:6" ht="18" customHeight="1" thickBot="1" x14ac:dyDescent="0.35">
      <c r="A30" s="276"/>
      <c r="B30" s="792"/>
      <c r="C30" s="297"/>
      <c r="D30" s="276"/>
      <c r="E30" s="277"/>
      <c r="F30" s="297"/>
    </row>
    <row r="31" spans="1:6" ht="18" customHeight="1" x14ac:dyDescent="0.3">
      <c r="A31" s="274"/>
      <c r="B31" s="789"/>
      <c r="C31" s="275"/>
      <c r="D31" s="274"/>
      <c r="E31" s="274"/>
      <c r="F31" s="275"/>
    </row>
    <row r="32" spans="1:6" ht="18" customHeight="1" x14ac:dyDescent="0.3">
      <c r="A32" s="274"/>
      <c r="B32" s="789"/>
      <c r="C32" s="275"/>
      <c r="D32" s="274"/>
      <c r="E32" s="274"/>
      <c r="F32" s="275"/>
    </row>
    <row r="33" spans="1:6" ht="18" customHeight="1" x14ac:dyDescent="0.3">
      <c r="A33" s="274"/>
      <c r="B33" s="789"/>
      <c r="C33" s="275"/>
      <c r="D33" s="274"/>
      <c r="E33" s="11"/>
      <c r="F33" s="274"/>
    </row>
    <row r="34" spans="1:6" ht="18" customHeight="1" x14ac:dyDescent="0.3">
      <c r="A34" s="274"/>
      <c r="B34" s="789"/>
      <c r="C34" s="275"/>
      <c r="D34" s="274"/>
      <c r="E34" s="11"/>
      <c r="F34" s="274"/>
    </row>
    <row r="35" spans="1:6" ht="18" customHeight="1" x14ac:dyDescent="0.3">
      <c r="A35" s="274"/>
      <c r="B35" s="789"/>
      <c r="C35" s="275"/>
      <c r="D35" s="274"/>
      <c r="E35" s="11"/>
      <c r="F35" s="274"/>
    </row>
    <row r="36" spans="1:6" ht="18" customHeight="1" x14ac:dyDescent="0.3">
      <c r="A36" s="274"/>
      <c r="B36" s="789"/>
      <c r="C36" s="275"/>
      <c r="D36" s="274"/>
      <c r="E36" s="274"/>
      <c r="F36" s="275"/>
    </row>
    <row r="37" spans="1:6" ht="18" customHeight="1" x14ac:dyDescent="0.3">
      <c r="A37" s="274"/>
      <c r="B37" s="789"/>
      <c r="C37" s="275"/>
      <c r="D37" s="274"/>
      <c r="E37" s="274"/>
      <c r="F37" s="275"/>
    </row>
    <row r="38" spans="1:6" ht="18" customHeight="1" x14ac:dyDescent="0.3">
      <c r="A38" s="274"/>
      <c r="B38" s="789"/>
      <c r="C38" s="275"/>
      <c r="D38" s="274"/>
      <c r="E38" s="274"/>
      <c r="F38" s="275"/>
    </row>
    <row r="39" spans="1:6" ht="18" customHeight="1" x14ac:dyDescent="0.3">
      <c r="A39" s="274"/>
      <c r="B39" s="789"/>
      <c r="C39" s="275"/>
      <c r="D39" s="274"/>
      <c r="E39" s="274"/>
      <c r="F39" s="275"/>
    </row>
    <row r="40" spans="1:6" ht="18" customHeight="1" x14ac:dyDescent="0.3">
      <c r="A40" s="274"/>
      <c r="B40" s="789"/>
      <c r="C40" s="275"/>
      <c r="D40" s="274"/>
      <c r="E40" s="274"/>
      <c r="F40" s="275"/>
    </row>
    <row r="41" spans="1:6" ht="18" customHeight="1" x14ac:dyDescent="0.3">
      <c r="A41" s="274"/>
      <c r="B41" s="789"/>
      <c r="C41" s="275"/>
      <c r="D41" s="274"/>
      <c r="E41" s="274"/>
      <c r="F41" s="275"/>
    </row>
    <row r="42" spans="1:6" ht="18" customHeight="1" x14ac:dyDescent="0.3">
      <c r="A42" s="274"/>
      <c r="B42" s="789"/>
      <c r="C42" s="275"/>
      <c r="D42" s="274"/>
      <c r="E42" s="274"/>
      <c r="F42" s="275"/>
    </row>
    <row r="43" spans="1:6" ht="18" customHeight="1" x14ac:dyDescent="0.3">
      <c r="A43" s="274"/>
      <c r="B43" s="789"/>
      <c r="C43" s="275"/>
      <c r="D43" s="274"/>
      <c r="E43" s="274"/>
      <c r="F43" s="275"/>
    </row>
    <row r="44" spans="1:6" ht="18" customHeight="1" x14ac:dyDescent="0.3">
      <c r="A44" s="274"/>
      <c r="B44" s="789"/>
      <c r="C44" s="275"/>
      <c r="D44" s="274"/>
      <c r="E44" s="274"/>
      <c r="F44" s="275"/>
    </row>
    <row r="45" spans="1:6" ht="18" customHeight="1" x14ac:dyDescent="0.3">
      <c r="A45" s="274"/>
      <c r="B45" s="789"/>
      <c r="C45" s="275"/>
      <c r="D45" s="274"/>
      <c r="E45" s="274"/>
      <c r="F45" s="275"/>
    </row>
    <row r="46" spans="1:6" ht="18" customHeight="1" x14ac:dyDescent="0.3">
      <c r="A46" s="274"/>
      <c r="B46" s="789"/>
      <c r="C46" s="275"/>
      <c r="D46" s="274"/>
      <c r="E46" s="274"/>
      <c r="F46" s="275"/>
    </row>
    <row r="47" spans="1:6" ht="15" customHeight="1" x14ac:dyDescent="0.3">
      <c r="A47" s="274"/>
      <c r="B47" s="789"/>
      <c r="C47" s="275"/>
      <c r="D47" s="274"/>
      <c r="E47" s="274"/>
      <c r="F47" s="275"/>
    </row>
    <row r="48" spans="1:6" x14ac:dyDescent="0.3">
      <c r="A48" s="274"/>
      <c r="B48" s="789"/>
      <c r="C48" s="275"/>
      <c r="D48" s="274"/>
      <c r="E48" s="274"/>
      <c r="F48" s="275"/>
    </row>
    <row r="49" spans="1:6" ht="15" customHeight="1" x14ac:dyDescent="0.3">
      <c r="A49" s="274"/>
      <c r="B49" s="789"/>
      <c r="C49" s="275"/>
      <c r="D49" s="274"/>
      <c r="E49" s="274"/>
      <c r="F49" s="275"/>
    </row>
    <row r="50" spans="1:6" x14ac:dyDescent="0.3">
      <c r="A50" s="274"/>
      <c r="B50" s="789"/>
      <c r="C50" s="275"/>
      <c r="D50" s="274"/>
      <c r="E50" s="274"/>
      <c r="F50" s="275"/>
    </row>
    <row r="51" spans="1:6" ht="15" customHeight="1" x14ac:dyDescent="0.3">
      <c r="A51" s="274"/>
      <c r="B51" s="789"/>
      <c r="C51" s="275"/>
      <c r="D51" s="274"/>
      <c r="E51" s="274"/>
      <c r="F51" s="275"/>
    </row>
    <row r="52" spans="1:6" ht="15" customHeight="1" x14ac:dyDescent="0.3">
      <c r="A52" s="274"/>
      <c r="B52" s="793"/>
      <c r="C52" s="275"/>
      <c r="D52" s="274"/>
      <c r="E52" s="274"/>
      <c r="F52" s="275"/>
    </row>
    <row r="53" spans="1:6" ht="15" customHeight="1" x14ac:dyDescent="0.3">
      <c r="A53" s="274"/>
      <c r="B53" s="785"/>
      <c r="C53" s="275"/>
      <c r="D53" s="274"/>
      <c r="E53" s="274"/>
      <c r="F53" s="275"/>
    </row>
    <row r="54" spans="1:6" ht="15" customHeight="1" x14ac:dyDescent="0.3">
      <c r="A54" s="274"/>
      <c r="B54" s="785"/>
      <c r="C54" s="275"/>
      <c r="D54" s="274"/>
      <c r="E54" s="274"/>
      <c r="F54" s="275"/>
    </row>
    <row r="55" spans="1:6" ht="15" customHeight="1" x14ac:dyDescent="0.3">
      <c r="A55" s="274"/>
      <c r="B55" s="785"/>
      <c r="C55" s="275"/>
      <c r="D55" s="274"/>
      <c r="E55" s="274"/>
      <c r="F55" s="275"/>
    </row>
    <row r="56" spans="1:6" ht="15" customHeight="1" x14ac:dyDescent="0.25">
      <c r="A56" s="907"/>
      <c r="B56" s="908"/>
      <c r="C56" s="908"/>
      <c r="D56" s="907"/>
      <c r="E56" s="907"/>
      <c r="F56" s="908"/>
    </row>
    <row r="57" spans="1:6" ht="15" customHeight="1" x14ac:dyDescent="0.25">
      <c r="A57" s="907"/>
      <c r="B57" s="908"/>
      <c r="C57" s="908"/>
      <c r="D57" s="907"/>
      <c r="E57" s="907"/>
      <c r="F57" s="908"/>
    </row>
    <row r="58" spans="1:6" ht="15" customHeight="1" x14ac:dyDescent="0.3">
      <c r="A58" s="11"/>
      <c r="B58" s="429"/>
      <c r="C58" s="11"/>
      <c r="D58" s="11"/>
      <c r="E58" s="11"/>
      <c r="F58" s="274"/>
    </row>
    <row r="59" spans="1:6" x14ac:dyDescent="0.3">
      <c r="A59" s="11"/>
      <c r="B59" s="429"/>
      <c r="C59" s="11"/>
      <c r="D59" s="11"/>
      <c r="E59" s="11"/>
      <c r="F59" s="274"/>
    </row>
  </sheetData>
  <mergeCells count="11">
    <mergeCell ref="A56:A57"/>
    <mergeCell ref="B56:C57"/>
    <mergeCell ref="D56:E57"/>
    <mergeCell ref="F56:F57"/>
    <mergeCell ref="A1:F1"/>
    <mergeCell ref="A2:F3"/>
    <mergeCell ref="A4:C4"/>
    <mergeCell ref="D4:F4"/>
    <mergeCell ref="A17:F18"/>
    <mergeCell ref="A19:C19"/>
    <mergeCell ref="D19:F19"/>
  </mergeCells>
  <pageMargins left="0.23622047244094491" right="7.874015748031496E-2" top="0.51181102362204722" bottom="0.19685039370078741" header="0.35433070866141736" footer="0.31496062992125984"/>
  <pageSetup paperSize="10000" scale="75" orientation="landscape" horizontalDpi="4294967293" verticalDpi="18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fitToPage="1"/>
  </sheetPr>
  <dimension ref="A1:AM149"/>
  <sheetViews>
    <sheetView topLeftCell="G67" zoomScale="82" zoomScaleNormal="82" workbookViewId="0">
      <selection activeCell="T91" sqref="T91"/>
    </sheetView>
  </sheetViews>
  <sheetFormatPr defaultColWidth="8.85546875" defaultRowHeight="13.5" x14ac:dyDescent="0.25"/>
  <cols>
    <col min="1" max="1" width="35.85546875" style="2" customWidth="1"/>
    <col min="2" max="2" width="23.42578125" style="704" customWidth="1"/>
    <col min="3" max="3" width="22.85546875" style="2" customWidth="1"/>
    <col min="4" max="4" width="4.28515625" style="2" customWidth="1"/>
    <col min="5" max="5" width="35.28515625" style="2" customWidth="1"/>
    <col min="6" max="6" width="25.7109375" style="2" customWidth="1"/>
    <col min="7" max="8" width="1.42578125" style="2" customWidth="1"/>
    <col min="9" max="9" width="17.140625" style="2" customWidth="1"/>
    <col min="10" max="10" width="2.28515625" style="2" customWidth="1"/>
    <col min="11" max="11" width="14.42578125" style="2" customWidth="1"/>
    <col min="12" max="12" width="4" style="2" customWidth="1"/>
    <col min="13" max="13" width="5.28515625" style="2" customWidth="1"/>
    <col min="14" max="14" width="16.42578125" style="2" customWidth="1"/>
    <col min="15" max="15" width="15.140625" style="2" customWidth="1"/>
    <col min="16" max="16" width="20.28515625" style="2" bestFit="1" customWidth="1"/>
    <col min="17" max="17" width="16.5703125" style="2" bestFit="1" customWidth="1"/>
    <col min="18" max="18" width="29.140625" style="2" customWidth="1"/>
    <col min="19" max="19" width="21.28515625" style="2" bestFit="1" customWidth="1"/>
    <col min="20" max="20" width="22.85546875" style="2" bestFit="1" customWidth="1"/>
    <col min="21" max="21" width="14.7109375" style="2" customWidth="1"/>
    <col min="22" max="22" width="1.7109375" style="2" customWidth="1"/>
    <col min="23" max="23" width="1.140625" style="2" customWidth="1"/>
    <col min="24" max="24" width="4.85546875" style="2" customWidth="1"/>
    <col min="25" max="25" width="2.28515625" style="2" customWidth="1"/>
    <col min="26" max="26" width="4.42578125" style="2" customWidth="1"/>
    <col min="27" max="27" width="18.7109375" style="2" customWidth="1"/>
    <col min="28" max="28" width="12" style="2" bestFit="1" customWidth="1"/>
    <col min="29" max="29" width="20.42578125" style="2" bestFit="1" customWidth="1"/>
    <col min="30" max="30" width="1.85546875" style="2" bestFit="1" customWidth="1"/>
    <col min="31" max="31" width="21" style="2" bestFit="1" customWidth="1"/>
    <col min="32" max="32" width="26.28515625" style="2" customWidth="1"/>
    <col min="33" max="33" width="20.42578125" style="2" bestFit="1" customWidth="1"/>
    <col min="34" max="34" width="8.85546875" style="2"/>
    <col min="35" max="35" width="14.5703125" style="2" bestFit="1" customWidth="1"/>
    <col min="36" max="36" width="8.85546875" style="2"/>
    <col min="37" max="37" width="4.42578125" style="2" bestFit="1" customWidth="1"/>
    <col min="38" max="38" width="6" style="2" bestFit="1" customWidth="1"/>
    <col min="39" max="39" width="15.85546875" style="2" bestFit="1" customWidth="1"/>
    <col min="40" max="16384" width="8.85546875" style="2"/>
  </cols>
  <sheetData>
    <row r="1" spans="1:31" ht="17.25" customHeight="1" thickBot="1" x14ac:dyDescent="0.35">
      <c r="A1" s="909" t="s">
        <v>486</v>
      </c>
      <c r="B1" s="910"/>
      <c r="C1" s="910"/>
      <c r="D1" s="910"/>
      <c r="E1" s="910"/>
      <c r="F1" s="910"/>
      <c r="I1" s="2" t="s">
        <v>486</v>
      </c>
      <c r="K1" s="2" t="s">
        <v>445</v>
      </c>
    </row>
    <row r="2" spans="1:31" ht="20.25" customHeight="1" x14ac:dyDescent="0.25">
      <c r="A2" s="911" t="s">
        <v>482</v>
      </c>
      <c r="B2" s="912"/>
      <c r="C2" s="912"/>
      <c r="D2" s="912"/>
      <c r="E2" s="912"/>
      <c r="F2" s="913"/>
      <c r="I2" s="911" t="s">
        <v>384</v>
      </c>
      <c r="J2" s="912"/>
      <c r="K2" s="912"/>
      <c r="L2" s="912"/>
      <c r="M2" s="912"/>
      <c r="N2" s="912"/>
      <c r="O2" s="912"/>
      <c r="P2" s="912"/>
      <c r="Q2" s="912"/>
      <c r="R2" s="912"/>
      <c r="S2" s="912"/>
      <c r="T2" s="912"/>
      <c r="U2" s="912"/>
      <c r="V2" s="912"/>
      <c r="W2" s="912"/>
      <c r="X2" s="912"/>
      <c r="Y2" s="912"/>
      <c r="Z2" s="912"/>
      <c r="AA2" s="913"/>
    </row>
    <row r="3" spans="1:31" ht="15.75" customHeight="1" thickBot="1" x14ac:dyDescent="0.3">
      <c r="A3" s="914"/>
      <c r="B3" s="915"/>
      <c r="C3" s="915"/>
      <c r="D3" s="915"/>
      <c r="E3" s="915"/>
      <c r="F3" s="916"/>
      <c r="I3" s="914"/>
      <c r="J3" s="915"/>
      <c r="K3" s="915"/>
      <c r="L3" s="915"/>
      <c r="M3" s="915"/>
      <c r="N3" s="915"/>
      <c r="O3" s="915"/>
      <c r="P3" s="915"/>
      <c r="Q3" s="915"/>
      <c r="R3" s="915"/>
      <c r="S3" s="915"/>
      <c r="T3" s="915"/>
      <c r="U3" s="915"/>
      <c r="V3" s="915"/>
      <c r="W3" s="915"/>
      <c r="X3" s="915"/>
      <c r="Y3" s="915"/>
      <c r="Z3" s="915"/>
      <c r="AA3" s="916"/>
    </row>
    <row r="4" spans="1:31" ht="16.5" customHeight="1" x14ac:dyDescent="0.25">
      <c r="A4" s="917" t="s">
        <v>127</v>
      </c>
      <c r="B4" s="918"/>
      <c r="C4" s="919"/>
      <c r="D4" s="917" t="s">
        <v>128</v>
      </c>
      <c r="E4" s="918"/>
      <c r="F4" s="919"/>
      <c r="I4" s="269"/>
      <c r="J4" s="270"/>
      <c r="K4" s="270"/>
      <c r="L4" s="270"/>
      <c r="M4" s="270"/>
      <c r="N4" s="270"/>
      <c r="O4" s="270"/>
      <c r="P4" s="270"/>
      <c r="Q4" s="270"/>
      <c r="R4" s="270"/>
      <c r="S4" s="270"/>
      <c r="T4" s="270"/>
      <c r="U4" s="270"/>
      <c r="V4" s="270"/>
      <c r="W4" s="270"/>
      <c r="X4" s="270"/>
      <c r="Y4" s="270"/>
      <c r="Z4" s="270"/>
      <c r="AA4" s="266"/>
    </row>
    <row r="5" spans="1:31" ht="18" thickBot="1" x14ac:dyDescent="0.35">
      <c r="A5" s="933"/>
      <c r="B5" s="934"/>
      <c r="C5" s="935"/>
      <c r="D5" s="933"/>
      <c r="E5" s="934"/>
      <c r="F5" s="935"/>
      <c r="I5" s="273" t="s">
        <v>133</v>
      </c>
      <c r="J5" s="274" t="s">
        <v>63</v>
      </c>
      <c r="K5" s="274" t="str">
        <f>'DATA AWAL NASABAH'!B2</f>
        <v>DYAH RETNO SULISTYOWATI</v>
      </c>
      <c r="L5" s="274"/>
      <c r="M5" s="274"/>
      <c r="N5" s="274"/>
      <c r="O5" s="275"/>
      <c r="P5" s="274"/>
      <c r="Q5" s="274"/>
      <c r="R5" s="274"/>
      <c r="S5" s="274"/>
      <c r="T5" s="275"/>
      <c r="U5" s="11"/>
      <c r="V5" s="11"/>
      <c r="W5" s="11"/>
      <c r="X5" s="11"/>
      <c r="Y5" s="11"/>
      <c r="Z5" s="11"/>
      <c r="AA5" s="263"/>
    </row>
    <row r="6" spans="1:31" ht="17.25" x14ac:dyDescent="0.3">
      <c r="A6" s="293"/>
      <c r="B6" s="691" t="s">
        <v>496</v>
      </c>
      <c r="C6" s="295" t="s">
        <v>497</v>
      </c>
      <c r="D6" s="293"/>
      <c r="E6" s="294"/>
      <c r="F6" s="295"/>
      <c r="I6" s="273" t="s">
        <v>385</v>
      </c>
      <c r="J6" s="274" t="s">
        <v>63</v>
      </c>
      <c r="K6" s="274" t="str">
        <f>'DATA AWAL NASABAH'!B4</f>
        <v>PNS</v>
      </c>
      <c r="L6" s="274"/>
      <c r="M6" s="274"/>
      <c r="N6" s="274"/>
      <c r="O6" s="275"/>
      <c r="P6" s="274"/>
      <c r="Q6" s="274"/>
      <c r="R6" s="274"/>
      <c r="S6" s="274"/>
      <c r="T6" s="275"/>
      <c r="U6" s="11"/>
      <c r="V6" s="11"/>
      <c r="W6" s="11"/>
      <c r="X6" s="11"/>
      <c r="Y6" s="11"/>
      <c r="Z6" s="11"/>
      <c r="AA6" s="263"/>
    </row>
    <row r="7" spans="1:31" ht="17.25" x14ac:dyDescent="0.3">
      <c r="A7" s="273" t="s">
        <v>126</v>
      </c>
      <c r="B7" s="701"/>
      <c r="C7" s="275">
        <v>5000000</v>
      </c>
      <c r="D7" s="273"/>
      <c r="E7" s="274" t="s">
        <v>381</v>
      </c>
      <c r="F7" s="283">
        <v>10000000</v>
      </c>
      <c r="I7" s="273" t="s">
        <v>386</v>
      </c>
      <c r="J7" s="274" t="s">
        <v>63</v>
      </c>
      <c r="K7" s="274" t="str">
        <f>'DATA AWAL NASABAH'!B21</f>
        <v>TOSARI REJO 001/006 JARAKSARI WONOSOBO</v>
      </c>
      <c r="L7" s="274"/>
      <c r="M7" s="274"/>
      <c r="N7" s="274"/>
      <c r="O7" s="275"/>
      <c r="P7" s="274"/>
      <c r="Q7" s="274"/>
      <c r="R7" s="274"/>
      <c r="S7" s="274"/>
      <c r="T7" s="275"/>
      <c r="U7" s="11"/>
      <c r="V7" s="11"/>
      <c r="W7" s="11"/>
      <c r="X7" s="11"/>
      <c r="Y7" s="11"/>
      <c r="Z7" s="11"/>
      <c r="AA7" s="263"/>
    </row>
    <row r="8" spans="1:31" ht="18" thickBot="1" x14ac:dyDescent="0.35">
      <c r="A8" s="273" t="s">
        <v>382</v>
      </c>
      <c r="B8" s="701"/>
      <c r="C8" s="275">
        <v>1900000000</v>
      </c>
      <c r="D8" s="273"/>
      <c r="E8" s="274"/>
      <c r="F8" s="279"/>
      <c r="I8" s="276" t="s">
        <v>387</v>
      </c>
      <c r="J8" s="277" t="s">
        <v>63</v>
      </c>
      <c r="K8" s="277" t="str">
        <f>'DATA AWAL NASABAH'!B28</f>
        <v>LEBIH DARI 5 TAHUN</v>
      </c>
      <c r="L8" s="277"/>
      <c r="M8" s="277"/>
      <c r="N8" s="277"/>
      <c r="O8" s="278"/>
      <c r="P8" s="277"/>
      <c r="Q8" s="277"/>
      <c r="R8" s="277"/>
      <c r="S8" s="277"/>
      <c r="T8" s="278"/>
      <c r="U8" s="267"/>
      <c r="V8" s="267"/>
      <c r="W8" s="267"/>
      <c r="X8" s="267"/>
      <c r="Y8" s="267"/>
      <c r="Z8" s="267"/>
      <c r="AA8" s="265"/>
    </row>
    <row r="9" spans="1:31" ht="17.25" x14ac:dyDescent="0.3">
      <c r="A9" s="273"/>
      <c r="B9" s="701"/>
      <c r="C9" s="274"/>
      <c r="D9" s="273"/>
      <c r="E9" s="274"/>
      <c r="F9" s="279"/>
      <c r="I9" s="288"/>
      <c r="J9" s="289"/>
      <c r="K9" s="289"/>
      <c r="L9" s="289"/>
      <c r="M9" s="289"/>
      <c r="N9" s="290"/>
      <c r="O9" s="289"/>
      <c r="P9" s="290"/>
      <c r="Q9" s="290"/>
      <c r="R9" s="290"/>
      <c r="S9" s="290"/>
      <c r="T9" s="291"/>
      <c r="U9" s="291"/>
      <c r="V9" s="291"/>
      <c r="W9" s="291"/>
      <c r="X9" s="291"/>
      <c r="Y9" s="291"/>
      <c r="Z9" s="291"/>
      <c r="AA9" s="266"/>
    </row>
    <row r="10" spans="1:31" ht="17.25" x14ac:dyDescent="0.3">
      <c r="A10" s="273"/>
      <c r="B10" s="701"/>
      <c r="C10" s="275"/>
      <c r="D10" s="273"/>
      <c r="E10" s="274"/>
      <c r="F10" s="283"/>
      <c r="I10" s="393"/>
      <c r="J10" s="688"/>
      <c r="K10" s="688"/>
      <c r="L10" s="688"/>
      <c r="M10" s="688"/>
      <c r="N10" s="689"/>
      <c r="O10" s="688"/>
      <c r="P10" s="689"/>
      <c r="Q10" s="689"/>
      <c r="R10" s="689"/>
      <c r="S10" s="689"/>
      <c r="T10" s="11"/>
      <c r="U10" s="11"/>
      <c r="V10" s="11"/>
      <c r="W10" s="11"/>
      <c r="X10" s="11"/>
      <c r="Y10" s="11"/>
      <c r="Z10" s="11"/>
      <c r="AA10" s="263"/>
      <c r="AC10" s="216" t="e">
        <f>SUM(#REF!)/2</f>
        <v>#REF!</v>
      </c>
      <c r="AE10" s="216" t="e">
        <f>ROUND(AC10,0)</f>
        <v>#REF!</v>
      </c>
    </row>
    <row r="11" spans="1:31" ht="17.25" x14ac:dyDescent="0.3">
      <c r="A11" s="273" t="s">
        <v>498</v>
      </c>
      <c r="B11" s="701"/>
      <c r="C11" s="687"/>
      <c r="D11" s="273"/>
      <c r="E11" s="274"/>
      <c r="F11" s="283"/>
      <c r="I11" s="393"/>
      <c r="J11" s="688"/>
      <c r="K11" s="924" t="s">
        <v>713</v>
      </c>
      <c r="L11" s="924"/>
      <c r="M11" s="924"/>
      <c r="N11" s="924"/>
      <c r="O11" s="924"/>
      <c r="P11" s="924"/>
      <c r="Q11" s="924"/>
      <c r="R11" s="924"/>
      <c r="S11" s="924"/>
      <c r="T11" s="924"/>
      <c r="U11" s="924"/>
      <c r="V11" s="11"/>
      <c r="W11" s="11"/>
      <c r="X11" s="11"/>
      <c r="Y11" s="11"/>
      <c r="Z11" s="11"/>
      <c r="AA11" s="263"/>
      <c r="AC11" s="719" t="e">
        <f>SUM(#REF!)/2</f>
        <v>#REF!</v>
      </c>
      <c r="AE11" s="216" t="e">
        <f>ROUND(AC11,0)</f>
        <v>#REF!</v>
      </c>
    </row>
    <row r="12" spans="1:31" ht="17.25" x14ac:dyDescent="0.3">
      <c r="A12" s="296" t="s">
        <v>521</v>
      </c>
      <c r="B12" s="701">
        <v>2001</v>
      </c>
      <c r="C12" s="687">
        <v>1500000000</v>
      </c>
      <c r="D12" s="273"/>
      <c r="E12" s="274"/>
      <c r="F12" s="283"/>
      <c r="I12" s="393"/>
      <c r="J12" s="688"/>
      <c r="K12" s="775" t="s">
        <v>665</v>
      </c>
      <c r="L12" s="923" t="s">
        <v>705</v>
      </c>
      <c r="M12" s="923"/>
      <c r="N12" s="923"/>
      <c r="O12" s="776" t="s">
        <v>706</v>
      </c>
      <c r="P12" s="407" t="s">
        <v>707</v>
      </c>
      <c r="Q12" s="36" t="s">
        <v>708</v>
      </c>
      <c r="R12" s="777" t="s">
        <v>709</v>
      </c>
      <c r="S12" s="36" t="s">
        <v>710</v>
      </c>
      <c r="T12" s="36" t="s">
        <v>711</v>
      </c>
      <c r="U12" s="778" t="s">
        <v>712</v>
      </c>
      <c r="V12" s="11"/>
      <c r="W12" s="11"/>
      <c r="X12" s="11"/>
      <c r="Y12" s="11"/>
      <c r="Z12" s="11"/>
      <c r="AA12" s="263"/>
      <c r="AE12" s="216"/>
    </row>
    <row r="13" spans="1:31" ht="17.25" x14ac:dyDescent="0.3">
      <c r="A13" s="273" t="s">
        <v>655</v>
      </c>
      <c r="B13" s="701">
        <v>2003</v>
      </c>
      <c r="C13" s="687">
        <v>400000000</v>
      </c>
      <c r="D13" s="273"/>
      <c r="E13" s="274" t="s">
        <v>754</v>
      </c>
      <c r="F13" s="283">
        <v>30555556</v>
      </c>
      <c r="I13" s="393"/>
      <c r="J13" s="688"/>
      <c r="K13" s="815" t="s">
        <v>770</v>
      </c>
      <c r="L13" s="920">
        <v>273852380</v>
      </c>
      <c r="M13" s="920"/>
      <c r="N13" s="920"/>
      <c r="O13" s="758">
        <v>228788761</v>
      </c>
      <c r="P13" s="759">
        <v>4500000</v>
      </c>
      <c r="Q13" s="759">
        <v>36792336</v>
      </c>
      <c r="R13" s="760">
        <v>2364400</v>
      </c>
      <c r="S13" s="760">
        <v>1327857</v>
      </c>
      <c r="T13" s="760">
        <v>8986284</v>
      </c>
      <c r="U13" s="761">
        <f>L13-O13+P13-Q13+R13-S13+T13</f>
        <v>22794110</v>
      </c>
      <c r="V13" s="11"/>
      <c r="W13" s="11"/>
      <c r="X13" s="11"/>
      <c r="Y13" s="11"/>
      <c r="Z13" s="11"/>
      <c r="AA13" s="263"/>
      <c r="AC13" s="719" t="e">
        <f>SUM(#REF!)/2</f>
        <v>#REF!</v>
      </c>
      <c r="AE13" s="216" t="e">
        <f t="shared" ref="AE13:AE14" si="0">ROUND(AC13,0)</f>
        <v>#REF!</v>
      </c>
    </row>
    <row r="14" spans="1:31" ht="17.25" x14ac:dyDescent="0.3">
      <c r="A14" s="273" t="s">
        <v>656</v>
      </c>
      <c r="B14" s="701">
        <v>2017</v>
      </c>
      <c r="C14" s="687">
        <v>300000000</v>
      </c>
      <c r="D14" s="273"/>
      <c r="E14" s="274" t="s">
        <v>754</v>
      </c>
      <c r="F14" s="283">
        <v>3057328786</v>
      </c>
      <c r="I14" s="393"/>
      <c r="J14" s="688"/>
      <c r="K14" s="757" t="s">
        <v>772</v>
      </c>
      <c r="L14" s="920">
        <v>268673801</v>
      </c>
      <c r="M14" s="920"/>
      <c r="N14" s="920"/>
      <c r="O14" s="758">
        <v>224833596</v>
      </c>
      <c r="P14" s="759">
        <v>4500000</v>
      </c>
      <c r="Q14" s="759">
        <v>31911840</v>
      </c>
      <c r="R14" s="760">
        <v>2382791</v>
      </c>
      <c r="S14" s="760">
        <v>826078</v>
      </c>
      <c r="T14" s="760">
        <v>2024641</v>
      </c>
      <c r="U14" s="761">
        <f>L14-O14+P14-Q14+R14-S14+T14</f>
        <v>20009719</v>
      </c>
      <c r="V14" s="11"/>
      <c r="W14" s="11"/>
      <c r="X14" s="11"/>
      <c r="Y14" s="11"/>
      <c r="Z14" s="11"/>
      <c r="AA14" s="263"/>
      <c r="AC14" s="719" t="e">
        <f>SUM(#REF!)/2</f>
        <v>#REF!</v>
      </c>
      <c r="AE14" s="216" t="e">
        <f t="shared" si="0"/>
        <v>#REF!</v>
      </c>
    </row>
    <row r="15" spans="1:31" ht="18" thickBot="1" x14ac:dyDescent="0.35">
      <c r="A15" s="273" t="s">
        <v>657</v>
      </c>
      <c r="B15" s="701">
        <v>2016</v>
      </c>
      <c r="C15" s="687">
        <v>300000000</v>
      </c>
      <c r="D15" s="273"/>
      <c r="E15" s="274" t="s">
        <v>723</v>
      </c>
      <c r="F15" s="283">
        <v>1643894213</v>
      </c>
      <c r="I15" s="393"/>
      <c r="J15" s="688"/>
      <c r="K15" s="762" t="s">
        <v>771</v>
      </c>
      <c r="L15" s="921">
        <v>286719261</v>
      </c>
      <c r="M15" s="921"/>
      <c r="N15" s="921"/>
      <c r="O15" s="763">
        <v>240919166</v>
      </c>
      <c r="P15" s="764">
        <v>4500000</v>
      </c>
      <c r="Q15" s="764">
        <v>32516335</v>
      </c>
      <c r="R15" s="765">
        <v>3813628</v>
      </c>
      <c r="S15" s="765">
        <v>1812422</v>
      </c>
      <c r="T15" s="765">
        <v>2058557</v>
      </c>
      <c r="U15" s="761">
        <f>L15-O15+P15-Q15+R15-S15+T15</f>
        <v>21843523</v>
      </c>
      <c r="V15" s="11"/>
      <c r="W15" s="11"/>
      <c r="X15" s="11"/>
      <c r="Y15" s="11"/>
      <c r="Z15" s="11"/>
      <c r="AA15" s="263"/>
    </row>
    <row r="16" spans="1:31" ht="18" thickTop="1" x14ac:dyDescent="0.3">
      <c r="A16" s="273" t="s">
        <v>658</v>
      </c>
      <c r="B16" s="701">
        <v>2016</v>
      </c>
      <c r="C16" s="687">
        <v>1154000000</v>
      </c>
      <c r="D16" s="273"/>
      <c r="E16" s="274" t="s">
        <v>755</v>
      </c>
      <c r="F16" s="283">
        <v>700000</v>
      </c>
      <c r="I16" s="393"/>
      <c r="J16" s="688"/>
      <c r="K16" s="780" t="s">
        <v>390</v>
      </c>
      <c r="L16" s="922">
        <f>SUM(L13:N15)</f>
        <v>829245442</v>
      </c>
      <c r="M16" s="922"/>
      <c r="N16" s="922"/>
      <c r="O16" s="766">
        <f>SUM(O13:O15)</f>
        <v>694541523</v>
      </c>
      <c r="P16" s="767">
        <f>SUM(P13:P15)</f>
        <v>13500000</v>
      </c>
      <c r="Q16" s="767">
        <f t="shared" ref="Q16" si="1">SUM(Q13:Q15)</f>
        <v>101220511</v>
      </c>
      <c r="R16" s="768">
        <f>SUM(R13:R15)</f>
        <v>8560819</v>
      </c>
      <c r="S16" s="768">
        <f>SUM(S13:S15)</f>
        <v>3966357</v>
      </c>
      <c r="T16" s="768">
        <f>SUM(T13:T15)</f>
        <v>13069482</v>
      </c>
      <c r="U16" s="769">
        <f>SUM(U13:U15)</f>
        <v>64647352</v>
      </c>
      <c r="V16" s="11"/>
      <c r="W16" s="11"/>
      <c r="X16" s="11"/>
      <c r="Y16" s="11"/>
      <c r="Z16" s="11"/>
      <c r="AA16" s="263"/>
    </row>
    <row r="17" spans="1:33" ht="17.25" x14ac:dyDescent="0.3">
      <c r="A17" s="273" t="s">
        <v>659</v>
      </c>
      <c r="B17" s="701">
        <v>2017</v>
      </c>
      <c r="C17" s="687">
        <v>980000000</v>
      </c>
      <c r="D17" s="273"/>
      <c r="E17" s="11"/>
      <c r="F17" s="263"/>
      <c r="I17" s="393"/>
      <c r="J17" s="688"/>
      <c r="K17" s="781" t="s">
        <v>666</v>
      </c>
      <c r="L17" s="920">
        <f>L16/3</f>
        <v>276415147.33333331</v>
      </c>
      <c r="M17" s="920"/>
      <c r="N17" s="920"/>
      <c r="O17" s="770">
        <f t="shared" ref="O17:U17" si="2">O16/3</f>
        <v>231513841</v>
      </c>
      <c r="P17" s="771">
        <f t="shared" si="2"/>
        <v>4500000</v>
      </c>
      <c r="Q17" s="779">
        <f t="shared" si="2"/>
        <v>33740170.333333336</v>
      </c>
      <c r="R17" s="772">
        <f t="shared" si="2"/>
        <v>2853606.3333333335</v>
      </c>
      <c r="S17" s="773">
        <f t="shared" si="2"/>
        <v>1322119</v>
      </c>
      <c r="T17" s="760">
        <f t="shared" si="2"/>
        <v>4356494</v>
      </c>
      <c r="U17" s="774">
        <f t="shared" si="2"/>
        <v>21549117.333333332</v>
      </c>
      <c r="V17" s="11"/>
      <c r="W17" s="11"/>
      <c r="X17" s="11"/>
      <c r="Y17" s="11"/>
      <c r="Z17" s="11"/>
      <c r="AA17" s="263"/>
      <c r="AC17" s="409" t="s">
        <v>176</v>
      </c>
      <c r="AD17" s="408"/>
      <c r="AE17" s="604">
        <v>3350000000</v>
      </c>
    </row>
    <row r="18" spans="1:33" ht="17.25" x14ac:dyDescent="0.3">
      <c r="A18" s="273" t="s">
        <v>660</v>
      </c>
      <c r="B18" s="701">
        <v>2017</v>
      </c>
      <c r="C18" s="687">
        <v>900000000</v>
      </c>
      <c r="D18" s="273"/>
      <c r="E18" s="274" t="s">
        <v>509</v>
      </c>
      <c r="F18" s="283">
        <f>SUM(F7:F16)</f>
        <v>4742478555</v>
      </c>
      <c r="I18" s="393"/>
      <c r="J18" s="688"/>
      <c r="K18" s="688"/>
      <c r="L18" s="688"/>
      <c r="M18" s="688"/>
      <c r="N18" s="689"/>
      <c r="O18" s="688"/>
      <c r="P18" s="689"/>
      <c r="Q18" s="689"/>
      <c r="R18" s="689"/>
      <c r="S18" s="689"/>
      <c r="T18" s="11"/>
      <c r="U18" s="11"/>
      <c r="V18" s="11"/>
      <c r="W18" s="11"/>
      <c r="X18" s="11"/>
      <c r="Y18" s="11"/>
      <c r="Z18" s="11"/>
      <c r="AA18" s="263"/>
      <c r="AC18" s="409" t="s">
        <v>177</v>
      </c>
      <c r="AD18" s="408"/>
      <c r="AE18" s="605">
        <v>120</v>
      </c>
    </row>
    <row r="19" spans="1:33" ht="17.25" x14ac:dyDescent="0.3">
      <c r="A19" s="273" t="s">
        <v>662</v>
      </c>
      <c r="B19" s="701">
        <v>2019</v>
      </c>
      <c r="C19" s="687">
        <f>'TANAH BANGUNAN'!H46</f>
        <v>1394200000</v>
      </c>
      <c r="D19" s="273"/>
      <c r="E19" s="274"/>
      <c r="F19" s="283"/>
      <c r="I19" s="393"/>
      <c r="J19" s="688"/>
      <c r="K19" s="924" t="s">
        <v>659</v>
      </c>
      <c r="L19" s="924"/>
      <c r="M19" s="924"/>
      <c r="N19" s="924"/>
      <c r="O19" s="924"/>
      <c r="P19" s="924"/>
      <c r="Q19" s="924"/>
      <c r="R19" s="924"/>
      <c r="S19" s="924"/>
      <c r="T19" s="924"/>
      <c r="U19" s="924"/>
      <c r="V19" s="11"/>
      <c r="W19" s="11"/>
      <c r="X19" s="11"/>
      <c r="Y19" s="11"/>
      <c r="Z19" s="11"/>
      <c r="AA19" s="263"/>
      <c r="AC19" s="410" t="s">
        <v>369</v>
      </c>
      <c r="AD19" s="408"/>
      <c r="AE19" s="413">
        <v>6.25E-2</v>
      </c>
    </row>
    <row r="20" spans="1:33" ht="17.25" x14ac:dyDescent="0.3">
      <c r="A20" s="273" t="s">
        <v>663</v>
      </c>
      <c r="B20" s="701">
        <v>2019</v>
      </c>
      <c r="C20" s="687">
        <f>'TANAH BANGUNAN'!Q46</f>
        <v>1489400000</v>
      </c>
      <c r="D20" s="273"/>
      <c r="E20" s="274"/>
      <c r="F20" s="283"/>
      <c r="I20" s="393"/>
      <c r="J20" s="688"/>
      <c r="K20" s="775" t="s">
        <v>665</v>
      </c>
      <c r="L20" s="923" t="s">
        <v>705</v>
      </c>
      <c r="M20" s="923"/>
      <c r="N20" s="923"/>
      <c r="O20" s="776" t="s">
        <v>706</v>
      </c>
      <c r="P20" s="407" t="s">
        <v>707</v>
      </c>
      <c r="Q20" s="36" t="s">
        <v>708</v>
      </c>
      <c r="R20" s="777" t="s">
        <v>709</v>
      </c>
      <c r="S20" s="36" t="s">
        <v>710</v>
      </c>
      <c r="T20" s="36" t="s">
        <v>711</v>
      </c>
      <c r="U20" s="778" t="s">
        <v>712</v>
      </c>
      <c r="V20" s="11"/>
      <c r="W20" s="11"/>
      <c r="X20" s="11"/>
      <c r="Y20" s="11"/>
      <c r="Z20" s="11"/>
      <c r="AA20" s="263"/>
      <c r="AE20" s="382"/>
    </row>
    <row r="21" spans="1:33" ht="17.25" x14ac:dyDescent="0.3">
      <c r="A21" s="273"/>
      <c r="B21" s="701"/>
      <c r="C21" s="687"/>
      <c r="D21" s="273"/>
      <c r="E21" s="274"/>
      <c r="F21" s="283"/>
      <c r="I21" s="393"/>
      <c r="J21" s="688"/>
      <c r="K21" s="815" t="str">
        <f>K13</f>
        <v>AGUST 2025</v>
      </c>
      <c r="L21" s="920">
        <v>318842630</v>
      </c>
      <c r="M21" s="920"/>
      <c r="N21" s="920"/>
      <c r="O21" s="758">
        <v>262576684</v>
      </c>
      <c r="P21" s="759">
        <v>4500000</v>
      </c>
      <c r="Q21" s="759">
        <v>32059824</v>
      </c>
      <c r="R21" s="760">
        <v>1910648</v>
      </c>
      <c r="S21" s="760">
        <v>673561</v>
      </c>
      <c r="T21" s="760">
        <v>2440606</v>
      </c>
      <c r="U21" s="761">
        <f>L21-O21+P21-Q21+R21-S21+T21</f>
        <v>32383815</v>
      </c>
      <c r="V21" s="11"/>
      <c r="W21" s="11"/>
      <c r="X21" s="11"/>
      <c r="Y21" s="11"/>
      <c r="Z21" s="11"/>
      <c r="AA21" s="263"/>
      <c r="AC21" s="407" t="s">
        <v>368</v>
      </c>
      <c r="AD21" s="408"/>
      <c r="AE21" s="409"/>
    </row>
    <row r="22" spans="1:33" ht="17.25" x14ac:dyDescent="0.3">
      <c r="A22" s="273"/>
      <c r="B22" s="701"/>
      <c r="C22" s="687"/>
      <c r="D22" s="273"/>
      <c r="E22" s="274"/>
      <c r="F22" s="283"/>
      <c r="I22" s="393"/>
      <c r="J22" s="688"/>
      <c r="K22" s="815" t="str">
        <f t="shared" ref="K22:K23" si="3">K14</f>
        <v>SEPT 2025</v>
      </c>
      <c r="L22" s="920">
        <v>343288849</v>
      </c>
      <c r="M22" s="920"/>
      <c r="N22" s="920"/>
      <c r="O22" s="758">
        <v>282978892</v>
      </c>
      <c r="P22" s="759">
        <v>4500000</v>
      </c>
      <c r="Q22" s="759">
        <v>37535515</v>
      </c>
      <c r="R22" s="760">
        <v>2147010</v>
      </c>
      <c r="S22" s="760">
        <v>707415</v>
      </c>
      <c r="T22" s="760">
        <v>2564556</v>
      </c>
      <c r="U22" s="761">
        <f>L22-O22+P22-Q22+R22-S22+T22</f>
        <v>31278593</v>
      </c>
      <c r="V22" s="11"/>
      <c r="W22" s="11"/>
      <c r="X22" s="11"/>
      <c r="Y22" s="11"/>
      <c r="Z22" s="11"/>
      <c r="AA22" s="263"/>
      <c r="AC22" s="409" t="s">
        <v>176</v>
      </c>
      <c r="AD22" s="409" t="s">
        <v>63</v>
      </c>
      <c r="AE22" s="419">
        <f>AE17</f>
        <v>3350000000</v>
      </c>
    </row>
    <row r="23" spans="1:33" ht="18" thickBot="1" x14ac:dyDescent="0.35">
      <c r="A23" s="273" t="s">
        <v>499</v>
      </c>
      <c r="B23" s="701"/>
      <c r="C23" s="687"/>
      <c r="D23" s="273"/>
      <c r="E23" s="274"/>
      <c r="F23" s="283"/>
      <c r="I23" s="393"/>
      <c r="J23" s="688"/>
      <c r="K23" s="815" t="str">
        <f t="shared" si="3"/>
        <v>OKT 2025</v>
      </c>
      <c r="L23" s="921">
        <v>288726954</v>
      </c>
      <c r="M23" s="921"/>
      <c r="N23" s="921"/>
      <c r="O23" s="763">
        <v>240102493</v>
      </c>
      <c r="P23" s="764">
        <v>4500000</v>
      </c>
      <c r="Q23" s="764">
        <v>33380900</v>
      </c>
      <c r="R23" s="765">
        <v>1928653</v>
      </c>
      <c r="S23" s="765">
        <v>686516</v>
      </c>
      <c r="T23" s="765">
        <v>2654911</v>
      </c>
      <c r="U23" s="761">
        <f>L23-O23+P23-Q23+R23-S23+T23</f>
        <v>23640609</v>
      </c>
      <c r="V23" s="11"/>
      <c r="W23" s="11"/>
      <c r="X23" s="11"/>
      <c r="Y23" s="11"/>
      <c r="Z23" s="11"/>
      <c r="AA23" s="263"/>
      <c r="AC23" s="409" t="s">
        <v>177</v>
      </c>
      <c r="AD23" s="409" t="s">
        <v>63</v>
      </c>
      <c r="AE23" s="416">
        <f>AE18</f>
        <v>120</v>
      </c>
    </row>
    <row r="24" spans="1:33" ht="18" thickTop="1" x14ac:dyDescent="0.3">
      <c r="A24" s="273" t="s">
        <v>661</v>
      </c>
      <c r="B24" s="701">
        <v>2016</v>
      </c>
      <c r="C24" s="687">
        <v>275000000</v>
      </c>
      <c r="D24" s="273"/>
      <c r="E24" s="274"/>
      <c r="F24" s="283"/>
      <c r="I24" s="393"/>
      <c r="J24" s="688"/>
      <c r="K24" s="780" t="s">
        <v>390</v>
      </c>
      <c r="L24" s="922">
        <f>SUM(L21:N23)</f>
        <v>950858433</v>
      </c>
      <c r="M24" s="922"/>
      <c r="N24" s="922"/>
      <c r="O24" s="766">
        <f>SUM(O21:O23)</f>
        <v>785658069</v>
      </c>
      <c r="P24" s="767">
        <f>SUM(P21:P23)</f>
        <v>13500000</v>
      </c>
      <c r="Q24" s="767">
        <f t="shared" ref="Q24" si="4">SUM(Q21:Q23)</f>
        <v>102976239</v>
      </c>
      <c r="R24" s="768">
        <f>SUM(R21:R23)</f>
        <v>5986311</v>
      </c>
      <c r="S24" s="768">
        <f>SUM(S21:S23)</f>
        <v>2067492</v>
      </c>
      <c r="T24" s="768">
        <f>SUM(T21:T23)</f>
        <v>7660073</v>
      </c>
      <c r="U24" s="769">
        <f>SUM(U21:U23)</f>
        <v>87303017</v>
      </c>
      <c r="V24" s="11"/>
      <c r="W24" s="11"/>
      <c r="X24" s="11"/>
      <c r="Y24" s="11"/>
      <c r="Z24" s="11"/>
      <c r="AA24" s="263"/>
      <c r="AC24" s="411" t="s">
        <v>212</v>
      </c>
      <c r="AD24" s="411" t="s">
        <v>63</v>
      </c>
      <c r="AE24" s="412" t="s">
        <v>368</v>
      </c>
    </row>
    <row r="25" spans="1:33" ht="17.25" x14ac:dyDescent="0.3">
      <c r="A25" s="273"/>
      <c r="B25" s="701"/>
      <c r="C25" s="687"/>
      <c r="D25" s="273"/>
      <c r="E25" s="274"/>
      <c r="F25" s="283"/>
      <c r="I25" s="393"/>
      <c r="J25" s="688"/>
      <c r="K25" s="781" t="s">
        <v>666</v>
      </c>
      <c r="L25" s="920">
        <f>L24/3</f>
        <v>316952811</v>
      </c>
      <c r="M25" s="920"/>
      <c r="N25" s="920"/>
      <c r="O25" s="770">
        <f>O24/3</f>
        <v>261886023</v>
      </c>
      <c r="P25" s="771">
        <f>P24/3</f>
        <v>4500000</v>
      </c>
      <c r="Q25" s="771">
        <f t="shared" ref="Q25" si="5">Q24/3</f>
        <v>34325413</v>
      </c>
      <c r="R25" s="772">
        <f>R24/3</f>
        <v>1995437</v>
      </c>
      <c r="S25" s="773">
        <f>S24/3</f>
        <v>689164</v>
      </c>
      <c r="T25" s="760">
        <f>T24/3</f>
        <v>2553357.6666666665</v>
      </c>
      <c r="U25" s="774">
        <f>U24/3</f>
        <v>29101005.666666668</v>
      </c>
      <c r="V25" s="11"/>
      <c r="W25" s="11"/>
      <c r="X25" s="11"/>
      <c r="Y25" s="11"/>
      <c r="Z25" s="11"/>
      <c r="AA25" s="263"/>
      <c r="AC25" s="410" t="s">
        <v>369</v>
      </c>
      <c r="AD25" s="410" t="s">
        <v>63</v>
      </c>
      <c r="AE25" s="413">
        <f>AE19</f>
        <v>6.25E-2</v>
      </c>
      <c r="AF25" s="603">
        <f>AE25/12</f>
        <v>5.208333333333333E-3</v>
      </c>
    </row>
    <row r="26" spans="1:33" ht="17.25" x14ac:dyDescent="0.3">
      <c r="A26" s="273"/>
      <c r="B26" s="701"/>
      <c r="C26" s="687"/>
      <c r="D26" s="273"/>
      <c r="E26" s="274" t="s">
        <v>383</v>
      </c>
      <c r="F26" s="283">
        <f>B30-F18</f>
        <v>9855121445</v>
      </c>
      <c r="I26" s="393"/>
      <c r="J26" s="688"/>
      <c r="K26" s="688"/>
      <c r="L26" s="688"/>
      <c r="M26" s="688"/>
      <c r="N26" s="689"/>
      <c r="O26" s="688"/>
      <c r="P26" s="689"/>
      <c r="Q26" s="689"/>
      <c r="R26" s="689"/>
      <c r="S26" s="689"/>
      <c r="T26" s="11"/>
      <c r="U26" s="11"/>
      <c r="V26" s="11"/>
      <c r="W26" s="11"/>
      <c r="X26" s="11"/>
      <c r="Y26" s="11"/>
      <c r="Z26" s="11"/>
      <c r="AA26" s="263"/>
      <c r="AB26" s="216"/>
      <c r="AC26" s="411" t="s">
        <v>426</v>
      </c>
      <c r="AD26" s="411" t="s">
        <v>63</v>
      </c>
      <c r="AE26" s="412">
        <f>AE22/AE23</f>
        <v>27916666.666666668</v>
      </c>
    </row>
    <row r="27" spans="1:33" ht="17.25" x14ac:dyDescent="0.3">
      <c r="A27" s="273" t="s">
        <v>537</v>
      </c>
      <c r="B27" s="701"/>
      <c r="C27" s="687">
        <v>4000000000</v>
      </c>
      <c r="D27" s="273"/>
      <c r="E27" s="274"/>
      <c r="F27" s="283"/>
      <c r="I27" s="393"/>
      <c r="J27" s="688"/>
      <c r="K27" s="924" t="s">
        <v>658</v>
      </c>
      <c r="L27" s="924"/>
      <c r="M27" s="924"/>
      <c r="N27" s="924"/>
      <c r="O27" s="924"/>
      <c r="P27" s="924"/>
      <c r="Q27" s="924"/>
      <c r="R27" s="924"/>
      <c r="S27" s="924"/>
      <c r="T27" s="924"/>
      <c r="U27" s="924"/>
      <c r="V27" s="11"/>
      <c r="W27" s="11"/>
      <c r="X27" s="11"/>
      <c r="Y27" s="11"/>
      <c r="Z27" s="11"/>
      <c r="AA27" s="263"/>
      <c r="AC27" s="411" t="s">
        <v>214</v>
      </c>
      <c r="AD27" s="411" t="s">
        <v>63</v>
      </c>
      <c r="AE27" s="414">
        <f>AE22*AF25</f>
        <v>17447916.666666664</v>
      </c>
      <c r="AG27" s="406"/>
    </row>
    <row r="28" spans="1:33" ht="17.25" x14ac:dyDescent="0.3">
      <c r="A28" s="273"/>
      <c r="B28" s="282"/>
      <c r="C28" s="283"/>
      <c r="D28" s="273"/>
      <c r="E28" s="274"/>
      <c r="F28" s="283"/>
      <c r="I28" s="393"/>
      <c r="J28" s="688"/>
      <c r="K28" s="775" t="s">
        <v>665</v>
      </c>
      <c r="L28" s="923" t="s">
        <v>705</v>
      </c>
      <c r="M28" s="923"/>
      <c r="N28" s="923"/>
      <c r="O28" s="776" t="s">
        <v>706</v>
      </c>
      <c r="P28" s="407" t="s">
        <v>707</v>
      </c>
      <c r="Q28" s="36" t="s">
        <v>708</v>
      </c>
      <c r="R28" s="777" t="s">
        <v>709</v>
      </c>
      <c r="S28" s="36" t="s">
        <v>710</v>
      </c>
      <c r="T28" s="36" t="s">
        <v>711</v>
      </c>
      <c r="U28" s="778" t="s">
        <v>712</v>
      </c>
      <c r="V28" s="11"/>
      <c r="W28" s="11"/>
      <c r="X28" s="11"/>
      <c r="Y28" s="11"/>
      <c r="Z28" s="11"/>
      <c r="AA28" s="263"/>
      <c r="AB28" s="216"/>
      <c r="AC28" s="415" t="s">
        <v>427</v>
      </c>
      <c r="AD28" s="416" t="s">
        <v>63</v>
      </c>
      <c r="AE28" s="417">
        <f>AE26+AE27</f>
        <v>45364583.333333328</v>
      </c>
    </row>
    <row r="29" spans="1:33" ht="18" thickBot="1" x14ac:dyDescent="0.35">
      <c r="A29" s="276"/>
      <c r="B29" s="702"/>
      <c r="C29" s="297"/>
      <c r="D29" s="276"/>
      <c r="E29" s="277"/>
      <c r="F29" s="297"/>
      <c r="I29" s="393"/>
      <c r="J29" s="688"/>
      <c r="K29" s="815" t="str">
        <f>K21</f>
        <v>AGUST 2025</v>
      </c>
      <c r="L29" s="920">
        <v>378165149</v>
      </c>
      <c r="M29" s="920"/>
      <c r="N29" s="920"/>
      <c r="O29" s="758">
        <v>313892071</v>
      </c>
      <c r="P29" s="759">
        <v>4500000</v>
      </c>
      <c r="Q29" s="759">
        <v>37204285</v>
      </c>
      <c r="R29" s="760">
        <v>2229300</v>
      </c>
      <c r="S29" s="760">
        <v>819169</v>
      </c>
      <c r="T29" s="760">
        <v>1927478</v>
      </c>
      <c r="U29" s="761">
        <f>L29-O29+P29-Q29+R29-S29+T29</f>
        <v>34906402</v>
      </c>
      <c r="V29" s="11"/>
      <c r="W29" s="11"/>
      <c r="X29" s="11"/>
      <c r="Y29" s="11"/>
      <c r="Z29" s="11"/>
      <c r="AA29" s="263"/>
      <c r="AC29" s="418"/>
      <c r="AD29" s="418"/>
      <c r="AE29" s="418"/>
    </row>
    <row r="30" spans="1:33" ht="16.5" x14ac:dyDescent="0.3">
      <c r="A30" s="925" t="s">
        <v>168</v>
      </c>
      <c r="B30" s="927">
        <f>SUM(C7:C27)</f>
        <v>14597600000</v>
      </c>
      <c r="C30" s="928"/>
      <c r="D30" s="925" t="s">
        <v>168</v>
      </c>
      <c r="E30" s="931"/>
      <c r="F30" s="928">
        <f>F26+F18</f>
        <v>14597600000</v>
      </c>
      <c r="I30" s="393"/>
      <c r="J30" s="688"/>
      <c r="K30" s="815" t="str">
        <f t="shared" ref="K30:K31" si="6">K22</f>
        <v>SEPT 2025</v>
      </c>
      <c r="L30" s="920">
        <v>405485707</v>
      </c>
      <c r="M30" s="920"/>
      <c r="N30" s="920"/>
      <c r="O30" s="758">
        <v>335160124</v>
      </c>
      <c r="P30" s="759">
        <v>4500000</v>
      </c>
      <c r="Q30" s="759">
        <v>39231269</v>
      </c>
      <c r="R30" s="760">
        <v>2191580</v>
      </c>
      <c r="S30" s="760">
        <v>890335</v>
      </c>
      <c r="T30" s="760">
        <v>1927478</v>
      </c>
      <c r="U30" s="761">
        <f>L30-O30+P30-Q30+R30-S30+T30</f>
        <v>38823037</v>
      </c>
      <c r="V30" s="11"/>
      <c r="W30" s="11"/>
      <c r="X30" s="11"/>
      <c r="Y30" s="11"/>
      <c r="Z30" s="11"/>
      <c r="AA30" s="263"/>
      <c r="AC30" s="94"/>
      <c r="AD30" s="94"/>
      <c r="AE30" s="94"/>
    </row>
    <row r="31" spans="1:33" ht="17.25" thickBot="1" x14ac:dyDescent="0.35">
      <c r="A31" s="926"/>
      <c r="B31" s="929"/>
      <c r="C31" s="930"/>
      <c r="D31" s="926"/>
      <c r="E31" s="932"/>
      <c r="F31" s="930"/>
      <c r="I31" s="393"/>
      <c r="J31" s="688"/>
      <c r="K31" s="815" t="str">
        <f t="shared" si="6"/>
        <v>OKT 2025</v>
      </c>
      <c r="L31" s="921">
        <v>398411891</v>
      </c>
      <c r="M31" s="921"/>
      <c r="N31" s="921"/>
      <c r="O31" s="763">
        <v>333225859</v>
      </c>
      <c r="P31" s="764">
        <v>4500000</v>
      </c>
      <c r="Q31" s="764">
        <v>34093735</v>
      </c>
      <c r="R31" s="765">
        <v>2247276</v>
      </c>
      <c r="S31" s="765">
        <v>850841</v>
      </c>
      <c r="T31" s="765">
        <v>2019810</v>
      </c>
      <c r="U31" s="761">
        <f>L31-O31+P31-Q31+R31-S31+T31</f>
        <v>39008542</v>
      </c>
      <c r="V31" s="11"/>
      <c r="W31" s="11"/>
      <c r="X31" s="11"/>
      <c r="Y31" s="11"/>
      <c r="Z31" s="11"/>
      <c r="AA31" s="263"/>
      <c r="AC31" s="94"/>
      <c r="AD31" s="94"/>
      <c r="AE31" s="94"/>
    </row>
    <row r="32" spans="1:33" ht="18" thickTop="1" x14ac:dyDescent="0.3">
      <c r="A32"/>
      <c r="B32" s="703"/>
      <c r="C32" s="184"/>
      <c r="D32"/>
      <c r="E32"/>
      <c r="F32" s="184"/>
      <c r="I32" s="393"/>
      <c r="J32" s="688"/>
      <c r="K32" s="780" t="s">
        <v>390</v>
      </c>
      <c r="L32" s="922">
        <f>SUM(L29:N31)</f>
        <v>1182062747</v>
      </c>
      <c r="M32" s="922"/>
      <c r="N32" s="922"/>
      <c r="O32" s="766">
        <f>SUM(O29:O31)</f>
        <v>982278054</v>
      </c>
      <c r="P32" s="767">
        <f>SUM(P29:P31)</f>
        <v>13500000</v>
      </c>
      <c r="Q32" s="767">
        <f t="shared" ref="Q32" si="7">SUM(Q29:Q31)</f>
        <v>110529289</v>
      </c>
      <c r="R32" s="768">
        <f>SUM(R29:R31)</f>
        <v>6668156</v>
      </c>
      <c r="S32" s="768">
        <f>SUM(S29:S31)</f>
        <v>2560345</v>
      </c>
      <c r="T32" s="768">
        <f>SUM(T29:T31)</f>
        <v>5874766</v>
      </c>
      <c r="U32" s="769">
        <f>SUM(U29:U31)</f>
        <v>112737981</v>
      </c>
      <c r="V32" s="11"/>
      <c r="W32" s="11"/>
      <c r="X32" s="11"/>
      <c r="Y32" s="11"/>
      <c r="Z32" s="11"/>
      <c r="AA32" s="263"/>
      <c r="AC32" s="409" t="s">
        <v>176</v>
      </c>
      <c r="AD32" s="409" t="s">
        <v>63</v>
      </c>
      <c r="AE32" s="419">
        <f>AE17</f>
        <v>3350000000</v>
      </c>
    </row>
    <row r="33" spans="1:31" ht="17.25" x14ac:dyDescent="0.3">
      <c r="I33" s="393"/>
      <c r="J33" s="688"/>
      <c r="K33" s="781" t="s">
        <v>666</v>
      </c>
      <c r="L33" s="920">
        <f>L32/3</f>
        <v>394020915.66666669</v>
      </c>
      <c r="M33" s="920"/>
      <c r="N33" s="920"/>
      <c r="O33" s="770">
        <f>O32/3</f>
        <v>327426018</v>
      </c>
      <c r="P33" s="771">
        <f>P32/3</f>
        <v>4500000</v>
      </c>
      <c r="Q33" s="771">
        <f t="shared" ref="Q33" si="8">Q32/3</f>
        <v>36843096.333333336</v>
      </c>
      <c r="R33" s="772">
        <f>R32/3</f>
        <v>2222718.6666666665</v>
      </c>
      <c r="S33" s="773">
        <f>S32/3</f>
        <v>853448.33333333337</v>
      </c>
      <c r="T33" s="760">
        <f>T32/3</f>
        <v>1958255.3333333333</v>
      </c>
      <c r="U33" s="774">
        <f>U32/3</f>
        <v>37579327</v>
      </c>
      <c r="V33" s="11"/>
      <c r="W33" s="11"/>
      <c r="X33" s="11"/>
      <c r="Y33" s="11"/>
      <c r="Z33" s="11"/>
      <c r="AA33" s="263"/>
      <c r="AC33" s="409" t="s">
        <v>177</v>
      </c>
      <c r="AD33" s="409" t="s">
        <v>63</v>
      </c>
      <c r="AE33" s="420">
        <f>AE18</f>
        <v>120</v>
      </c>
    </row>
    <row r="34" spans="1:31" ht="17.25" customHeight="1" thickBot="1" x14ac:dyDescent="0.35">
      <c r="A34" s="909" t="s">
        <v>488</v>
      </c>
      <c r="B34" s="909"/>
      <c r="C34" s="909"/>
      <c r="D34" s="909"/>
      <c r="E34" s="909"/>
      <c r="F34" s="909"/>
      <c r="I34" s="393"/>
      <c r="J34" s="688"/>
      <c r="K34" s="688"/>
      <c r="L34" s="688"/>
      <c r="M34" s="688"/>
      <c r="N34" s="689"/>
      <c r="O34" s="688"/>
      <c r="P34" s="689"/>
      <c r="Q34" s="689"/>
      <c r="R34" s="689"/>
      <c r="S34" s="689"/>
      <c r="T34" s="11"/>
      <c r="U34" s="11"/>
      <c r="V34" s="11"/>
      <c r="W34" s="11"/>
      <c r="X34" s="11"/>
      <c r="Y34" s="11"/>
      <c r="Z34" s="11"/>
      <c r="AA34" s="263"/>
      <c r="AC34" s="409" t="s">
        <v>212</v>
      </c>
      <c r="AD34" s="409" t="s">
        <v>63</v>
      </c>
      <c r="AE34" s="421" t="s">
        <v>476</v>
      </c>
    </row>
    <row r="35" spans="1:31" ht="18" customHeight="1" x14ac:dyDescent="0.3">
      <c r="A35" s="911" t="s">
        <v>482</v>
      </c>
      <c r="B35" s="912"/>
      <c r="C35" s="912"/>
      <c r="D35" s="912"/>
      <c r="E35" s="912"/>
      <c r="F35" s="913"/>
      <c r="I35" s="393"/>
      <c r="J35" s="688"/>
      <c r="K35" s="688"/>
      <c r="L35" s="688"/>
      <c r="M35" s="688"/>
      <c r="N35" s="689"/>
      <c r="O35" s="688"/>
      <c r="P35" s="689"/>
      <c r="Q35" s="689"/>
      <c r="R35" s="689"/>
      <c r="S35" s="689"/>
      <c r="T35" s="11"/>
      <c r="U35" s="11"/>
      <c r="V35" s="11"/>
      <c r="W35" s="11"/>
      <c r="X35" s="11"/>
      <c r="Y35" s="11"/>
      <c r="Z35" s="11"/>
      <c r="AA35" s="263"/>
      <c r="AC35" s="409" t="s">
        <v>209</v>
      </c>
      <c r="AD35" s="409" t="s">
        <v>63</v>
      </c>
      <c r="AE35" s="422">
        <f>AE19</f>
        <v>6.25E-2</v>
      </c>
    </row>
    <row r="36" spans="1:31" ht="18" customHeight="1" thickBot="1" x14ac:dyDescent="0.35">
      <c r="A36" s="914"/>
      <c r="B36" s="915"/>
      <c r="C36" s="915"/>
      <c r="D36" s="915"/>
      <c r="E36" s="915"/>
      <c r="F36" s="916"/>
      <c r="I36" s="273" t="s">
        <v>388</v>
      </c>
      <c r="J36" s="675" t="s">
        <v>703</v>
      </c>
      <c r="K36" s="274"/>
      <c r="L36" s="274"/>
      <c r="M36" s="274"/>
      <c r="N36" s="275"/>
      <c r="O36" s="274"/>
      <c r="P36" s="275"/>
      <c r="Q36" s="275"/>
      <c r="R36" s="275"/>
      <c r="S36" s="275"/>
      <c r="T36" s="274"/>
      <c r="U36" s="274"/>
      <c r="V36" s="274"/>
      <c r="W36" s="274"/>
      <c r="X36" s="274"/>
      <c r="Y36" s="274"/>
      <c r="Z36" s="274"/>
      <c r="AA36" s="279"/>
      <c r="AC36" s="423" t="s">
        <v>204</v>
      </c>
      <c r="AD36" s="424" t="s">
        <v>63</v>
      </c>
      <c r="AE36" s="425">
        <f>-PMT(AE35/12,AE33,AE32)</f>
        <v>37613832.450341195</v>
      </c>
    </row>
    <row r="37" spans="1:31" ht="14.25" customHeight="1" x14ac:dyDescent="0.3">
      <c r="A37" s="917" t="s">
        <v>127</v>
      </c>
      <c r="B37" s="918"/>
      <c r="C37" s="919"/>
      <c r="D37" s="917" t="s">
        <v>128</v>
      </c>
      <c r="E37" s="918"/>
      <c r="F37" s="919"/>
      <c r="I37" s="273"/>
      <c r="J37" s="274" t="s">
        <v>667</v>
      </c>
      <c r="K37" s="274"/>
      <c r="L37" s="274"/>
      <c r="M37" s="274"/>
      <c r="N37" s="274"/>
      <c r="O37" s="275"/>
      <c r="P37" s="275"/>
      <c r="Q37" s="275"/>
      <c r="R37" s="275"/>
      <c r="S37" s="275"/>
      <c r="T37" s="282"/>
      <c r="U37" s="275"/>
      <c r="V37" s="275"/>
      <c r="W37" s="280"/>
      <c r="X37" s="275" t="s">
        <v>446</v>
      </c>
      <c r="Y37" s="280" t="s">
        <v>389</v>
      </c>
      <c r="Z37" s="280" t="s">
        <v>447</v>
      </c>
      <c r="AA37" s="283">
        <f>U17+U25+U33</f>
        <v>88229450</v>
      </c>
      <c r="AC37" s="418"/>
      <c r="AD37" s="418"/>
      <c r="AE37" s="418"/>
    </row>
    <row r="38" spans="1:31" ht="18" thickBot="1" x14ac:dyDescent="0.35">
      <c r="A38" s="933"/>
      <c r="B38" s="934"/>
      <c r="C38" s="935"/>
      <c r="D38" s="933"/>
      <c r="E38" s="934"/>
      <c r="F38" s="935"/>
      <c r="I38" s="281"/>
      <c r="J38" s="275"/>
      <c r="K38" s="936" t="s">
        <v>490</v>
      </c>
      <c r="L38" s="936"/>
      <c r="M38" s="275"/>
      <c r="N38" s="275"/>
      <c r="O38" s="275"/>
      <c r="P38" s="275"/>
      <c r="Q38" s="275"/>
      <c r="R38" s="275"/>
      <c r="S38" s="275"/>
      <c r="T38" s="275"/>
      <c r="U38" s="275"/>
      <c r="V38" s="282"/>
      <c r="W38" s="275"/>
      <c r="X38" s="306"/>
      <c r="Y38" s="275"/>
      <c r="Z38" s="275"/>
      <c r="AA38" s="285">
        <f>AA37</f>
        <v>88229450</v>
      </c>
      <c r="AC38" s="595"/>
      <c r="AD38" s="595"/>
      <c r="AE38" s="418"/>
    </row>
    <row r="39" spans="1:31" ht="17.25" customHeight="1" x14ac:dyDescent="0.3">
      <c r="A39" s="293"/>
      <c r="B39" s="729" t="s">
        <v>496</v>
      </c>
      <c r="C39" s="295" t="s">
        <v>497</v>
      </c>
      <c r="D39" s="293"/>
      <c r="E39" s="294"/>
      <c r="F39" s="295"/>
      <c r="I39" s="281"/>
      <c r="J39" s="275"/>
      <c r="K39" s="275"/>
      <c r="L39" s="275"/>
      <c r="M39" s="275"/>
      <c r="N39" s="275"/>
      <c r="O39" s="275"/>
      <c r="P39" s="275"/>
      <c r="Q39" s="275"/>
      <c r="R39" s="275"/>
      <c r="S39" s="275"/>
      <c r="T39" s="275"/>
      <c r="U39" s="275"/>
      <c r="V39" s="282"/>
      <c r="W39" s="275"/>
      <c r="X39" s="275"/>
      <c r="Y39" s="275"/>
      <c r="Z39" s="275"/>
      <c r="AA39" s="283"/>
    </row>
    <row r="40" spans="1:31" ht="18" customHeight="1" x14ac:dyDescent="0.3">
      <c r="A40" s="273" t="s">
        <v>126</v>
      </c>
      <c r="B40" s="821"/>
      <c r="C40" s="275">
        <v>5000000</v>
      </c>
      <c r="D40" s="273"/>
      <c r="E40" s="274" t="s">
        <v>381</v>
      </c>
      <c r="F40" s="283">
        <v>10000000</v>
      </c>
      <c r="I40" s="281" t="s">
        <v>536</v>
      </c>
      <c r="J40" s="11"/>
      <c r="K40" s="11"/>
      <c r="L40" s="11"/>
      <c r="M40" s="11"/>
      <c r="N40" s="11"/>
      <c r="O40" s="11"/>
      <c r="P40" s="11"/>
      <c r="Q40" s="11"/>
      <c r="R40" s="11"/>
      <c r="S40" s="11"/>
      <c r="T40" s="11"/>
      <c r="U40" s="11"/>
      <c r="V40" s="11"/>
      <c r="W40" s="11"/>
      <c r="X40" s="11"/>
      <c r="Y40" s="11"/>
      <c r="Z40" s="11"/>
      <c r="AA40" s="263"/>
    </row>
    <row r="41" spans="1:31" ht="17.25" x14ac:dyDescent="0.3">
      <c r="A41" s="273" t="s">
        <v>382</v>
      </c>
      <c r="B41" s="821"/>
      <c r="C41" s="275">
        <f>F48-F15</f>
        <v>356105787</v>
      </c>
      <c r="D41" s="273"/>
      <c r="E41" s="274"/>
      <c r="F41" s="279"/>
      <c r="I41" s="281"/>
      <c r="J41" s="11"/>
      <c r="K41" s="11"/>
      <c r="L41" s="11"/>
      <c r="M41" s="11"/>
      <c r="N41" s="11"/>
      <c r="O41" s="11"/>
      <c r="P41" s="11"/>
      <c r="Q41" s="11"/>
      <c r="R41" s="11"/>
      <c r="S41" s="11"/>
      <c r="T41" s="11"/>
      <c r="U41" s="11"/>
      <c r="V41" s="11"/>
      <c r="W41" s="11"/>
      <c r="X41" s="11"/>
      <c r="Y41" s="11"/>
      <c r="Z41" s="11"/>
      <c r="AA41" s="263"/>
    </row>
    <row r="42" spans="1:31" ht="18" thickBot="1" x14ac:dyDescent="0.35">
      <c r="A42" s="273"/>
      <c r="B42" s="821"/>
      <c r="C42" s="274"/>
      <c r="D42" s="273"/>
      <c r="E42" s="274"/>
      <c r="F42" s="279"/>
      <c r="I42" s="281"/>
      <c r="J42" s="275" t="s">
        <v>485</v>
      </c>
      <c r="K42" s="275"/>
      <c r="L42" s="275"/>
      <c r="M42" s="275"/>
      <c r="N42" s="275"/>
      <c r="O42" s="275"/>
      <c r="P42" s="275"/>
      <c r="Q42" s="275"/>
      <c r="R42" s="275"/>
      <c r="S42" s="275"/>
      <c r="T42" s="275"/>
      <c r="U42" s="275"/>
      <c r="V42" s="275"/>
      <c r="W42" s="275"/>
      <c r="X42" s="275" t="s">
        <v>446</v>
      </c>
      <c r="Y42" s="280" t="s">
        <v>389</v>
      </c>
      <c r="Z42" s="280" t="s">
        <v>447</v>
      </c>
      <c r="AA42" s="286">
        <f>AA38</f>
        <v>88229450</v>
      </c>
      <c r="AE42" s="690">
        <f>1500000000*1.5%</f>
        <v>22500000</v>
      </c>
    </row>
    <row r="43" spans="1:31" ht="18" thickTop="1" x14ac:dyDescent="0.3">
      <c r="A43" s="273"/>
      <c r="B43" s="821"/>
      <c r="C43" s="275"/>
      <c r="D43" s="273"/>
      <c r="E43" s="274"/>
      <c r="F43" s="283"/>
      <c r="I43" s="281"/>
      <c r="J43" s="275"/>
      <c r="K43" s="275"/>
      <c r="L43" s="275"/>
      <c r="M43" s="11"/>
      <c r="N43" s="275"/>
      <c r="O43" s="275"/>
      <c r="P43" s="275"/>
      <c r="Q43" s="275"/>
      <c r="R43" s="275"/>
      <c r="S43" s="275"/>
      <c r="T43" s="275"/>
      <c r="U43" s="275"/>
      <c r="V43" s="275"/>
      <c r="W43" s="275"/>
      <c r="X43" s="306"/>
      <c r="Y43" s="275"/>
      <c r="Z43" s="275"/>
      <c r="AA43" s="283"/>
    </row>
    <row r="44" spans="1:31" ht="17.25" x14ac:dyDescent="0.3">
      <c r="A44" s="273" t="s">
        <v>498</v>
      </c>
      <c r="B44" s="821"/>
      <c r="C44" s="687"/>
      <c r="D44" s="273"/>
      <c r="E44" s="274"/>
      <c r="F44" s="283"/>
      <c r="I44" s="281" t="s">
        <v>391</v>
      </c>
      <c r="J44" s="275"/>
      <c r="K44" s="275"/>
      <c r="L44" s="275"/>
      <c r="M44" s="275"/>
      <c r="N44" s="275"/>
      <c r="O44" s="275"/>
      <c r="P44" s="275"/>
      <c r="Q44" s="275"/>
      <c r="R44" s="275"/>
      <c r="S44" s="275"/>
      <c r="T44" s="275"/>
      <c r="U44" s="275"/>
      <c r="V44" s="275"/>
      <c r="W44" s="275"/>
      <c r="X44" s="275"/>
      <c r="Y44" s="275"/>
      <c r="Z44" s="271"/>
      <c r="AA44" s="283"/>
    </row>
    <row r="45" spans="1:31" ht="17.25" x14ac:dyDescent="0.3">
      <c r="A45" s="296" t="s">
        <v>521</v>
      </c>
      <c r="B45" s="821">
        <v>2001</v>
      </c>
      <c r="C45" s="687">
        <v>1500000000</v>
      </c>
      <c r="D45" s="273"/>
      <c r="E45" s="274"/>
      <c r="F45" s="283"/>
      <c r="I45" s="281"/>
      <c r="J45" s="307" t="s">
        <v>203</v>
      </c>
      <c r="K45" s="307"/>
      <c r="L45" s="307"/>
      <c r="M45" s="307"/>
      <c r="N45" s="274"/>
      <c r="O45" s="280" t="s">
        <v>447</v>
      </c>
      <c r="P45" s="284">
        <v>5000000</v>
      </c>
      <c r="Q45" s="284"/>
      <c r="R45" s="284"/>
      <c r="S45" s="284"/>
      <c r="T45" s="284"/>
      <c r="U45" s="275"/>
      <c r="V45" s="275"/>
      <c r="W45" s="275"/>
      <c r="X45" s="275"/>
      <c r="Y45" s="275"/>
      <c r="Z45" s="275"/>
      <c r="AA45" s="283"/>
      <c r="AC45" s="2">
        <v>1500000000</v>
      </c>
    </row>
    <row r="46" spans="1:31" ht="17.25" customHeight="1" x14ac:dyDescent="0.3">
      <c r="A46" s="273" t="s">
        <v>655</v>
      </c>
      <c r="B46" s="821">
        <v>2003</v>
      </c>
      <c r="C46" s="687">
        <v>400000000</v>
      </c>
      <c r="D46" s="273"/>
      <c r="E46" s="274" t="s">
        <v>754</v>
      </c>
      <c r="F46" s="283">
        <v>30555556</v>
      </c>
      <c r="I46" s="281"/>
      <c r="J46" s="284" t="s">
        <v>491</v>
      </c>
      <c r="K46" s="284"/>
      <c r="L46" s="275"/>
      <c r="M46" s="275"/>
      <c r="N46" s="274"/>
      <c r="O46" s="280" t="s">
        <v>447</v>
      </c>
      <c r="P46" s="284">
        <v>1000000</v>
      </c>
      <c r="Q46" s="284"/>
      <c r="R46" s="284"/>
      <c r="S46" s="284"/>
      <c r="T46" s="284"/>
      <c r="U46" s="275"/>
      <c r="V46" s="275"/>
      <c r="W46" s="275"/>
      <c r="X46" s="275"/>
      <c r="Y46" s="275"/>
      <c r="Z46" s="275"/>
      <c r="AA46" s="283"/>
    </row>
    <row r="47" spans="1:31" ht="18" customHeight="1" x14ac:dyDescent="0.3">
      <c r="A47" s="273" t="s">
        <v>656</v>
      </c>
      <c r="B47" s="821">
        <v>2017</v>
      </c>
      <c r="C47" s="687">
        <v>300000000</v>
      </c>
      <c r="D47" s="273"/>
      <c r="E47" s="274" t="s">
        <v>754</v>
      </c>
      <c r="F47" s="283">
        <v>3057328786</v>
      </c>
      <c r="I47" s="264"/>
      <c r="J47" s="284" t="s">
        <v>756</v>
      </c>
      <c r="K47" s="302"/>
      <c r="L47" s="274"/>
      <c r="M47" s="11"/>
      <c r="N47" s="11"/>
      <c r="O47" s="280" t="s">
        <v>447</v>
      </c>
      <c r="P47" s="284">
        <v>1654751.5734438293</v>
      </c>
      <c r="Q47" s="13"/>
      <c r="R47" s="13"/>
      <c r="S47" s="13"/>
      <c r="T47" s="13"/>
      <c r="U47" s="11"/>
      <c r="V47" s="11"/>
      <c r="W47" s="11"/>
      <c r="X47" s="11"/>
      <c r="Y47" s="11"/>
      <c r="Z47" s="11"/>
      <c r="AA47" s="263"/>
    </row>
    <row r="48" spans="1:31" ht="18" customHeight="1" x14ac:dyDescent="0.3">
      <c r="A48" s="273" t="s">
        <v>657</v>
      </c>
      <c r="B48" s="821">
        <v>2016</v>
      </c>
      <c r="C48" s="687">
        <v>300000000</v>
      </c>
      <c r="D48" s="273"/>
      <c r="E48" s="274" t="s">
        <v>723</v>
      </c>
      <c r="F48" s="283">
        <v>2000000000</v>
      </c>
      <c r="I48" s="264"/>
      <c r="J48" s="284" t="s">
        <v>756</v>
      </c>
      <c r="K48" s="302"/>
      <c r="L48" s="274"/>
      <c r="M48" s="11"/>
      <c r="N48" s="11"/>
      <c r="O48" s="280" t="s">
        <v>447</v>
      </c>
      <c r="P48" s="284">
        <v>37613832.450341195</v>
      </c>
      <c r="Q48" s="13"/>
      <c r="R48" s="13"/>
      <c r="S48" s="13"/>
      <c r="T48" s="13"/>
      <c r="U48" s="11"/>
      <c r="V48" s="11"/>
      <c r="W48" s="11"/>
      <c r="X48" s="11"/>
      <c r="Y48" s="11"/>
      <c r="Z48" s="11"/>
      <c r="AA48" s="263"/>
    </row>
    <row r="49" spans="1:39" ht="17.25" x14ac:dyDescent="0.3">
      <c r="A49" s="273" t="s">
        <v>658</v>
      </c>
      <c r="B49" s="821">
        <v>2016</v>
      </c>
      <c r="C49" s="687">
        <v>1154000000</v>
      </c>
      <c r="D49" s="273"/>
      <c r="E49" s="274" t="s">
        <v>755</v>
      </c>
      <c r="F49" s="283">
        <v>700000</v>
      </c>
      <c r="I49" s="264"/>
      <c r="J49" s="284" t="s">
        <v>569</v>
      </c>
      <c r="K49" s="302"/>
      <c r="L49" s="274"/>
      <c r="M49" s="11"/>
      <c r="N49" s="11"/>
      <c r="O49" s="280" t="s">
        <v>447</v>
      </c>
      <c r="P49" s="284">
        <v>30000000</v>
      </c>
      <c r="Q49" s="13"/>
      <c r="R49" s="13"/>
      <c r="S49" s="13"/>
      <c r="T49" s="13"/>
      <c r="U49" s="11"/>
      <c r="V49" s="11"/>
      <c r="W49" s="11"/>
      <c r="X49" s="11"/>
      <c r="Y49" s="11"/>
      <c r="Z49" s="11"/>
      <c r="AA49" s="263"/>
    </row>
    <row r="50" spans="1:39" ht="17.25" x14ac:dyDescent="0.3">
      <c r="A50" s="273" t="s">
        <v>659</v>
      </c>
      <c r="B50" s="821">
        <v>2017</v>
      </c>
      <c r="C50" s="687">
        <v>980000000</v>
      </c>
      <c r="D50" s="273"/>
      <c r="E50" s="11"/>
      <c r="F50" s="263"/>
      <c r="I50" s="264"/>
      <c r="J50" s="284" t="s">
        <v>761</v>
      </c>
      <c r="K50" s="302"/>
      <c r="L50" s="274"/>
      <c r="M50" s="11"/>
      <c r="N50" s="11"/>
      <c r="O50" s="280" t="s">
        <v>447</v>
      </c>
      <c r="P50" s="284">
        <v>70000</v>
      </c>
      <c r="Q50" s="13"/>
      <c r="R50" s="13"/>
      <c r="S50" s="13"/>
      <c r="T50" s="13"/>
      <c r="U50" s="11"/>
      <c r="V50" s="11"/>
      <c r="W50" s="11"/>
      <c r="X50" s="11"/>
      <c r="Y50" s="11"/>
      <c r="Z50" s="11"/>
      <c r="AA50" s="263"/>
    </row>
    <row r="51" spans="1:39" ht="17.25" x14ac:dyDescent="0.3">
      <c r="A51" s="273" t="s">
        <v>660</v>
      </c>
      <c r="B51" s="821">
        <v>2017</v>
      </c>
      <c r="C51" s="687">
        <v>900000000</v>
      </c>
      <c r="D51" s="273"/>
      <c r="E51" s="274" t="s">
        <v>509</v>
      </c>
      <c r="F51" s="283">
        <f>SUM(F40:F49)</f>
        <v>5098584342</v>
      </c>
      <c r="I51" s="281"/>
      <c r="J51" s="284" t="s">
        <v>492</v>
      </c>
      <c r="K51" s="284"/>
      <c r="L51" s="275"/>
      <c r="M51" s="275"/>
      <c r="N51" s="274"/>
      <c r="O51" s="280" t="s">
        <v>447</v>
      </c>
      <c r="P51" s="303">
        <v>2000000</v>
      </c>
      <c r="Q51" s="284"/>
      <c r="R51" s="284"/>
      <c r="S51" s="284"/>
      <c r="T51" s="284"/>
      <c r="U51" s="275"/>
      <c r="V51" s="275"/>
      <c r="W51" s="275"/>
      <c r="X51" s="275"/>
      <c r="Y51" s="275"/>
      <c r="Z51" s="275"/>
      <c r="AA51" s="283"/>
      <c r="AE51" s="274" t="s">
        <v>388</v>
      </c>
      <c r="AF51" s="675" t="s">
        <v>703</v>
      </c>
      <c r="AG51" s="274"/>
      <c r="AH51" s="274"/>
      <c r="AI51" s="275"/>
      <c r="AJ51" s="274"/>
      <c r="AK51" s="274"/>
      <c r="AL51" s="274"/>
      <c r="AM51" s="274"/>
    </row>
    <row r="52" spans="1:39" ht="17.25" x14ac:dyDescent="0.3">
      <c r="A52" s="273" t="s">
        <v>662</v>
      </c>
      <c r="B52" s="821">
        <v>2019</v>
      </c>
      <c r="C52" s="687">
        <f>C19</f>
        <v>1394200000</v>
      </c>
      <c r="D52" s="273"/>
      <c r="E52" s="274"/>
      <c r="F52" s="283"/>
      <c r="I52" s="281"/>
      <c r="J52" s="284" t="s">
        <v>390</v>
      </c>
      <c r="K52" s="284"/>
      <c r="L52" s="275"/>
      <c r="M52" s="275"/>
      <c r="N52" s="274"/>
      <c r="O52" s="280" t="s">
        <v>447</v>
      </c>
      <c r="P52" s="304">
        <f>SUM(P45:P51)</f>
        <v>77338584.023785025</v>
      </c>
      <c r="Q52" s="304"/>
      <c r="R52" s="304"/>
      <c r="S52" s="304"/>
      <c r="T52" s="304"/>
      <c r="U52" s="271"/>
      <c r="V52" s="271"/>
      <c r="W52" s="271"/>
      <c r="X52" s="271"/>
      <c r="Y52" s="271"/>
      <c r="Z52" s="275"/>
      <c r="AA52" s="283"/>
      <c r="AE52" s="274"/>
      <c r="AF52" s="274" t="s">
        <v>667</v>
      </c>
      <c r="AG52" s="274"/>
      <c r="AH52" s="275"/>
      <c r="AI52" s="275"/>
      <c r="AJ52" s="275" t="s">
        <v>446</v>
      </c>
      <c r="AK52" s="280" t="s">
        <v>389</v>
      </c>
      <c r="AL52" s="280" t="s">
        <v>447</v>
      </c>
      <c r="AM52" s="275">
        <f>AA37</f>
        <v>88229450</v>
      </c>
    </row>
    <row r="53" spans="1:39" ht="17.25" x14ac:dyDescent="0.3">
      <c r="A53" s="273" t="s">
        <v>663</v>
      </c>
      <c r="B53" s="821">
        <v>2019</v>
      </c>
      <c r="C53" s="687">
        <f>C20</f>
        <v>1489400000</v>
      </c>
      <c r="D53" s="273"/>
      <c r="E53" s="274"/>
      <c r="F53" s="283"/>
      <c r="I53" s="281"/>
      <c r="J53" s="275"/>
      <c r="K53" s="275"/>
      <c r="L53" s="275"/>
      <c r="M53" s="275"/>
      <c r="N53" s="275"/>
      <c r="O53" s="275"/>
      <c r="P53" s="275"/>
      <c r="Q53" s="275"/>
      <c r="R53" s="275"/>
      <c r="S53" s="275"/>
      <c r="T53" s="275"/>
      <c r="U53" s="275"/>
      <c r="V53" s="275"/>
      <c r="W53" s="275"/>
      <c r="X53" s="306"/>
      <c r="Y53" s="275"/>
      <c r="Z53" s="275"/>
      <c r="AA53" s="283"/>
      <c r="AE53" s="275"/>
      <c r="AF53" s="275"/>
      <c r="AG53" s="743" t="s">
        <v>490</v>
      </c>
      <c r="AH53" s="275"/>
      <c r="AI53" s="275"/>
      <c r="AJ53" s="743"/>
      <c r="AK53" s="275"/>
      <c r="AL53" s="275"/>
      <c r="AM53" s="275">
        <f>AA38</f>
        <v>88229450</v>
      </c>
    </row>
    <row r="54" spans="1:39" ht="18" thickBot="1" x14ac:dyDescent="0.35">
      <c r="A54" s="273"/>
      <c r="B54" s="821"/>
      <c r="C54" s="687"/>
      <c r="D54" s="273"/>
      <c r="E54" s="274"/>
      <c r="F54" s="283"/>
      <c r="I54" s="281" t="s">
        <v>131</v>
      </c>
      <c r="J54" s="275"/>
      <c r="K54" s="275"/>
      <c r="L54" s="275"/>
      <c r="M54" s="275"/>
      <c r="N54" s="275"/>
      <c r="O54" s="275"/>
      <c r="P54" s="275"/>
      <c r="Q54" s="275"/>
      <c r="R54" s="275"/>
      <c r="S54" s="275"/>
      <c r="T54" s="275"/>
      <c r="U54" s="275"/>
      <c r="V54" s="275"/>
      <c r="W54" s="275"/>
      <c r="X54" s="275"/>
      <c r="Y54" s="275"/>
      <c r="Z54" s="275"/>
      <c r="AA54" s="286">
        <f>AA42-P52</f>
        <v>10890865.976214975</v>
      </c>
      <c r="AE54" s="275"/>
      <c r="AF54" s="275"/>
      <c r="AG54" s="275"/>
      <c r="AH54" s="275"/>
      <c r="AI54" s="275"/>
      <c r="AJ54" s="743"/>
      <c r="AK54" s="275"/>
      <c r="AL54" s="275"/>
      <c r="AM54" s="275"/>
    </row>
    <row r="55" spans="1:39" ht="18" thickTop="1" x14ac:dyDescent="0.3">
      <c r="A55" s="273"/>
      <c r="B55" s="821"/>
      <c r="C55" s="687"/>
      <c r="D55" s="273"/>
      <c r="E55" s="274"/>
      <c r="F55" s="283"/>
      <c r="I55" s="281"/>
      <c r="J55" s="275"/>
      <c r="K55" s="275"/>
      <c r="L55" s="275"/>
      <c r="M55" s="275"/>
      <c r="N55" s="275"/>
      <c r="O55" s="275"/>
      <c r="P55" s="275"/>
      <c r="Q55" s="275"/>
      <c r="R55" s="275"/>
      <c r="S55" s="275"/>
      <c r="T55" s="275"/>
      <c r="U55" s="275"/>
      <c r="V55" s="275"/>
      <c r="W55" s="275"/>
      <c r="X55" s="275"/>
      <c r="Y55" s="275"/>
      <c r="Z55" s="275"/>
      <c r="AA55" s="709"/>
      <c r="AE55" s="275" t="s">
        <v>391</v>
      </c>
      <c r="AF55" s="275"/>
      <c r="AG55" s="275"/>
      <c r="AH55" s="275"/>
      <c r="AI55" s="275"/>
      <c r="AJ55" s="275"/>
      <c r="AK55" s="275"/>
      <c r="AL55" s="271"/>
      <c r="AM55" s="275"/>
    </row>
    <row r="56" spans="1:39" ht="18" thickBot="1" x14ac:dyDescent="0.35">
      <c r="A56" s="273" t="s">
        <v>499</v>
      </c>
      <c r="B56" s="821"/>
      <c r="C56" s="687"/>
      <c r="D56" s="273"/>
      <c r="E56" s="274"/>
      <c r="F56" s="283"/>
      <c r="I56" s="281" t="s">
        <v>773</v>
      </c>
      <c r="J56" s="275"/>
      <c r="K56" s="275"/>
      <c r="L56" s="275"/>
      <c r="M56" s="275"/>
      <c r="N56" s="275"/>
      <c r="O56" s="275"/>
      <c r="P56" s="275"/>
      <c r="Q56" s="275"/>
      <c r="R56" s="275"/>
      <c r="S56" s="275"/>
      <c r="T56" s="275"/>
      <c r="U56" s="275"/>
      <c r="V56" s="275"/>
      <c r="W56" s="275"/>
      <c r="X56" s="275"/>
      <c r="Y56" s="275"/>
      <c r="Z56" s="275"/>
      <c r="AA56" s="286">
        <f>AA54+P49</f>
        <v>40890865.976214975</v>
      </c>
      <c r="AE56" s="275"/>
      <c r="AF56" s="307" t="s">
        <v>203</v>
      </c>
      <c r="AG56" s="307"/>
      <c r="AH56" s="280" t="s">
        <v>447</v>
      </c>
      <c r="AI56" s="284">
        <f>P45</f>
        <v>5000000</v>
      </c>
      <c r="AJ56" s="275"/>
      <c r="AK56" s="275"/>
      <c r="AL56" s="275"/>
      <c r="AM56" s="275"/>
    </row>
    <row r="57" spans="1:39" ht="18" thickTop="1" x14ac:dyDescent="0.3">
      <c r="A57" s="273" t="s">
        <v>661</v>
      </c>
      <c r="B57" s="821">
        <v>2016</v>
      </c>
      <c r="C57" s="687">
        <v>275000000</v>
      </c>
      <c r="D57" s="273"/>
      <c r="E57" s="274"/>
      <c r="F57" s="283"/>
      <c r="I57" s="281"/>
      <c r="J57" s="275"/>
      <c r="K57" s="275"/>
      <c r="L57" s="275"/>
      <c r="M57" s="275"/>
      <c r="N57" s="275"/>
      <c r="O57" s="275"/>
      <c r="P57" s="275"/>
      <c r="Q57" s="275"/>
      <c r="R57" s="275"/>
      <c r="S57" s="275"/>
      <c r="T57" s="275"/>
      <c r="U57" s="275"/>
      <c r="V57" s="275"/>
      <c r="W57" s="275"/>
      <c r="X57" s="275"/>
      <c r="Y57" s="275"/>
      <c r="Z57" s="275"/>
      <c r="AA57" s="263"/>
      <c r="AE57" s="275"/>
      <c r="AF57" s="284" t="s">
        <v>491</v>
      </c>
      <c r="AG57" s="284"/>
      <c r="AH57" s="280" t="s">
        <v>447</v>
      </c>
      <c r="AI57" s="284">
        <v>1000000</v>
      </c>
      <c r="AJ57" s="275"/>
      <c r="AK57" s="275"/>
      <c r="AL57" s="275"/>
      <c r="AM57" s="275"/>
    </row>
    <row r="58" spans="1:39" ht="18" thickBot="1" x14ac:dyDescent="0.35">
      <c r="A58" s="273"/>
      <c r="B58" s="821"/>
      <c r="C58" s="687"/>
      <c r="D58" s="273"/>
      <c r="E58" s="274"/>
      <c r="F58" s="283"/>
      <c r="I58" s="300" t="s">
        <v>392</v>
      </c>
      <c r="J58" s="271"/>
      <c r="K58" s="271"/>
      <c r="L58" s="271"/>
      <c r="M58" s="271"/>
      <c r="N58" s="271"/>
      <c r="O58" s="271"/>
      <c r="P58" s="271"/>
      <c r="Q58" s="271"/>
      <c r="R58" s="271"/>
      <c r="S58" s="271"/>
      <c r="T58" s="271"/>
      <c r="U58" s="271"/>
      <c r="V58" s="271"/>
      <c r="W58" s="271"/>
      <c r="X58" s="271"/>
      <c r="Y58" s="271"/>
      <c r="Z58" s="271"/>
      <c r="AA58" s="710">
        <f>AA56*90%</f>
        <v>36801779.378593482</v>
      </c>
      <c r="AE58" s="275"/>
      <c r="AF58" s="284" t="s">
        <v>664</v>
      </c>
      <c r="AG58" s="284"/>
      <c r="AH58" s="280" t="s">
        <v>447</v>
      </c>
      <c r="AI58" s="284" t="e">
        <f>#REF!</f>
        <v>#REF!</v>
      </c>
      <c r="AJ58" s="275"/>
      <c r="AK58" s="275"/>
      <c r="AL58" s="275"/>
      <c r="AM58" s="275"/>
    </row>
    <row r="59" spans="1:39" ht="18" thickBot="1" x14ac:dyDescent="0.35">
      <c r="A59" s="273"/>
      <c r="B59" s="821"/>
      <c r="C59" s="687"/>
      <c r="D59" s="273"/>
      <c r="E59" s="274" t="s">
        <v>383</v>
      </c>
      <c r="F59" s="283">
        <f>B63-F51</f>
        <v>7955121445</v>
      </c>
      <c r="I59" s="301"/>
      <c r="J59" s="267"/>
      <c r="K59" s="267"/>
      <c r="L59" s="267"/>
      <c r="M59" s="267"/>
      <c r="N59" s="267"/>
      <c r="O59" s="267"/>
      <c r="P59" s="267"/>
      <c r="Q59" s="267"/>
      <c r="R59" s="267"/>
      <c r="S59" s="267"/>
      <c r="T59" s="267"/>
      <c r="U59" s="267"/>
      <c r="V59" s="267"/>
      <c r="W59" s="267"/>
      <c r="X59" s="267"/>
      <c r="Y59" s="267"/>
      <c r="Z59" s="267"/>
      <c r="AA59" s="265"/>
      <c r="AE59" s="11"/>
      <c r="AF59" s="284" t="s">
        <v>679</v>
      </c>
      <c r="AG59" s="302"/>
      <c r="AH59" s="280" t="s">
        <v>447</v>
      </c>
      <c r="AI59" s="284" t="e">
        <f>#REF!</f>
        <v>#REF!</v>
      </c>
      <c r="AJ59" s="11"/>
      <c r="AK59" s="11"/>
      <c r="AL59" s="11"/>
      <c r="AM59" s="11"/>
    </row>
    <row r="60" spans="1:39" ht="17.25" x14ac:dyDescent="0.3">
      <c r="A60" s="273" t="s">
        <v>537</v>
      </c>
      <c r="B60" s="821"/>
      <c r="C60" s="687">
        <v>4000000000</v>
      </c>
      <c r="D60" s="273"/>
      <c r="E60" s="274"/>
      <c r="F60" s="283"/>
      <c r="AE60" s="11"/>
      <c r="AF60" s="284" t="s">
        <v>569</v>
      </c>
      <c r="AG60" s="302"/>
      <c r="AH60" s="280" t="s">
        <v>447</v>
      </c>
      <c r="AI60" s="284"/>
      <c r="AJ60" s="11"/>
      <c r="AK60" s="11"/>
      <c r="AL60" s="11"/>
      <c r="AM60" s="11"/>
    </row>
    <row r="61" spans="1:39" ht="13.5" customHeight="1" x14ac:dyDescent="0.3">
      <c r="A61" s="273"/>
      <c r="B61" s="282"/>
      <c r="C61" s="283"/>
      <c r="D61" s="273"/>
      <c r="E61" s="274"/>
      <c r="F61" s="283"/>
      <c r="AE61" s="275"/>
      <c r="AF61" s="284" t="s">
        <v>492</v>
      </c>
      <c r="AG61" s="284"/>
      <c r="AH61" s="280" t="s">
        <v>447</v>
      </c>
      <c r="AI61" s="303">
        <v>1000000</v>
      </c>
      <c r="AJ61" s="275"/>
      <c r="AK61" s="275"/>
      <c r="AL61" s="275"/>
      <c r="AM61" s="275"/>
    </row>
    <row r="62" spans="1:39" ht="14.25" customHeight="1" thickBot="1" x14ac:dyDescent="0.35">
      <c r="A62" s="276"/>
      <c r="B62" s="702"/>
      <c r="C62" s="297"/>
      <c r="D62" s="276"/>
      <c r="E62" s="277"/>
      <c r="F62" s="297"/>
      <c r="I62" s="2" t="s">
        <v>487</v>
      </c>
      <c r="AE62" s="275"/>
      <c r="AF62" s="284" t="s">
        <v>390</v>
      </c>
      <c r="AG62" s="284"/>
      <c r="AH62" s="280" t="s">
        <v>447</v>
      </c>
      <c r="AI62" s="304" t="e">
        <f>SUM(AI56:AI61)</f>
        <v>#REF!</v>
      </c>
      <c r="AJ62" s="271"/>
      <c r="AK62" s="271"/>
      <c r="AL62" s="275"/>
      <c r="AM62" s="275"/>
    </row>
    <row r="63" spans="1:39" ht="17.25" x14ac:dyDescent="0.3">
      <c r="A63" s="925" t="s">
        <v>168</v>
      </c>
      <c r="B63" s="927">
        <f>SUM(C40:C60)</f>
        <v>13053705787</v>
      </c>
      <c r="C63" s="928"/>
      <c r="D63" s="925" t="s">
        <v>168</v>
      </c>
      <c r="E63" s="931"/>
      <c r="F63" s="928">
        <f>F59+F49</f>
        <v>7955821445</v>
      </c>
      <c r="I63" s="387" t="s">
        <v>391</v>
      </c>
      <c r="J63" s="388"/>
      <c r="K63" s="388"/>
      <c r="L63" s="388"/>
      <c r="M63" s="388"/>
      <c r="N63" s="388"/>
      <c r="O63" s="388"/>
      <c r="P63" s="388"/>
      <c r="Q63" s="388"/>
      <c r="R63" s="388"/>
      <c r="S63" s="388"/>
      <c r="T63" s="388"/>
      <c r="U63" s="388"/>
      <c r="V63" s="388"/>
      <c r="W63" s="388"/>
      <c r="X63" s="388"/>
      <c r="Y63" s="388"/>
      <c r="Z63" s="389"/>
      <c r="AA63" s="390"/>
      <c r="AE63" s="275"/>
      <c r="AF63" s="275"/>
      <c r="AG63" s="275"/>
      <c r="AH63" s="275"/>
      <c r="AI63" s="275"/>
      <c r="AJ63" s="743"/>
      <c r="AK63" s="275"/>
      <c r="AL63" s="275"/>
      <c r="AM63" s="275"/>
    </row>
    <row r="64" spans="1:39" ht="18" thickBot="1" x14ac:dyDescent="0.35">
      <c r="A64" s="926"/>
      <c r="B64" s="929"/>
      <c r="C64" s="930"/>
      <c r="D64" s="926"/>
      <c r="E64" s="932"/>
      <c r="F64" s="930"/>
      <c r="I64" s="281"/>
      <c r="J64" s="307" t="str">
        <f>J45</f>
        <v>Rumah Tangga</v>
      </c>
      <c r="K64" s="307"/>
      <c r="L64" s="307"/>
      <c r="M64" s="307"/>
      <c r="N64" s="274"/>
      <c r="O64" s="280" t="s">
        <v>447</v>
      </c>
      <c r="P64" s="284">
        <f>P45</f>
        <v>5000000</v>
      </c>
      <c r="Q64" s="284"/>
      <c r="R64" s="284"/>
      <c r="S64" s="284"/>
      <c r="T64" s="284"/>
      <c r="U64" s="275"/>
      <c r="V64" s="275"/>
      <c r="W64" s="275"/>
      <c r="X64" s="275"/>
      <c r="Y64" s="275"/>
      <c r="Z64" s="275"/>
      <c r="AA64" s="283"/>
      <c r="AE64" s="275" t="s">
        <v>131</v>
      </c>
      <c r="AF64" s="275"/>
      <c r="AG64" s="275"/>
      <c r="AH64" s="275"/>
      <c r="AI64" s="275"/>
      <c r="AJ64" s="275"/>
      <c r="AK64" s="275"/>
      <c r="AL64" s="275"/>
      <c r="AM64" s="744" t="e">
        <f>AM53-AI62</f>
        <v>#REF!</v>
      </c>
    </row>
    <row r="65" spans="9:39" ht="17.25" x14ac:dyDescent="0.3">
      <c r="I65" s="281"/>
      <c r="J65" s="307" t="str">
        <f t="shared" ref="J65:J70" si="9">J46</f>
        <v>Listrik, Air, Telepon</v>
      </c>
      <c r="K65" s="284"/>
      <c r="L65" s="275"/>
      <c r="M65" s="275"/>
      <c r="N65" s="274"/>
      <c r="O65" s="280" t="s">
        <v>447</v>
      </c>
      <c r="P65" s="284">
        <f t="shared" ref="P65:P70" si="10">P46</f>
        <v>1000000</v>
      </c>
      <c r="Q65" s="284"/>
      <c r="R65" s="284"/>
      <c r="S65" s="284"/>
      <c r="T65" s="284"/>
      <c r="U65" s="275"/>
      <c r="V65" s="275"/>
      <c r="W65" s="275"/>
      <c r="X65" s="275"/>
      <c r="Y65" s="275"/>
      <c r="Z65" s="275"/>
      <c r="AA65" s="283"/>
      <c r="AE65" s="275"/>
      <c r="AF65" s="275"/>
      <c r="AG65" s="275"/>
      <c r="AH65" s="275"/>
      <c r="AI65" s="275"/>
      <c r="AJ65" s="275"/>
      <c r="AK65" s="275"/>
      <c r="AL65" s="275"/>
      <c r="AM65" s="271"/>
    </row>
    <row r="66" spans="9:39" ht="18" thickBot="1" x14ac:dyDescent="0.35">
      <c r="I66" s="281"/>
      <c r="J66" s="307" t="str">
        <f t="shared" si="9"/>
        <v>Angsuran BCA</v>
      </c>
      <c r="K66" s="284"/>
      <c r="L66" s="275"/>
      <c r="M66" s="275"/>
      <c r="N66" s="274"/>
      <c r="O66" s="280" t="s">
        <v>447</v>
      </c>
      <c r="P66" s="284">
        <f t="shared" si="10"/>
        <v>1654751.5734438293</v>
      </c>
      <c r="Q66" s="284"/>
      <c r="R66" s="284"/>
      <c r="S66" s="284"/>
      <c r="T66" s="284"/>
      <c r="U66" s="275"/>
      <c r="V66" s="275"/>
      <c r="W66" s="275"/>
      <c r="X66" s="275"/>
      <c r="Y66" s="275"/>
      <c r="Z66" s="275"/>
      <c r="AA66" s="283"/>
      <c r="AE66" s="275" t="s">
        <v>702</v>
      </c>
      <c r="AF66" s="275"/>
      <c r="AG66" s="275"/>
      <c r="AH66" s="275"/>
      <c r="AI66" s="275"/>
      <c r="AJ66" s="275"/>
      <c r="AK66" s="275"/>
      <c r="AL66" s="275"/>
      <c r="AM66" s="744" t="e">
        <f>AM53-AI62+AI59</f>
        <v>#REF!</v>
      </c>
    </row>
    <row r="67" spans="9:39" ht="18" thickTop="1" x14ac:dyDescent="0.3">
      <c r="I67" s="281"/>
      <c r="J67" s="307" t="str">
        <f t="shared" si="9"/>
        <v>Angsuran BCA</v>
      </c>
      <c r="K67" s="284"/>
      <c r="L67" s="275"/>
      <c r="M67" s="275"/>
      <c r="N67" s="274"/>
      <c r="O67" s="280" t="s">
        <v>447</v>
      </c>
      <c r="P67" s="284">
        <f t="shared" si="10"/>
        <v>37613832.450341195</v>
      </c>
      <c r="Q67" s="284"/>
      <c r="R67" s="284"/>
      <c r="S67" s="284"/>
      <c r="T67" s="284"/>
      <c r="U67" s="275"/>
      <c r="V67" s="275"/>
      <c r="W67" s="275"/>
      <c r="X67" s="275"/>
      <c r="Y67" s="275"/>
      <c r="Z67" s="275"/>
      <c r="AA67" s="283"/>
      <c r="AE67" s="275"/>
      <c r="AF67" s="275"/>
      <c r="AG67" s="275"/>
      <c r="AH67" s="275"/>
      <c r="AI67" s="275"/>
      <c r="AJ67" s="275"/>
      <c r="AK67" s="275"/>
      <c r="AL67" s="275"/>
      <c r="AM67" s="11"/>
    </row>
    <row r="68" spans="9:39" ht="18" thickBot="1" x14ac:dyDescent="0.35">
      <c r="I68" s="281"/>
      <c r="J68" s="307" t="str">
        <f t="shared" si="9"/>
        <v>Angsuran Bank Wonosobo</v>
      </c>
      <c r="K68" s="284"/>
      <c r="L68" s="275"/>
      <c r="M68" s="275"/>
      <c r="N68" s="274"/>
      <c r="O68" s="280" t="s">
        <v>447</v>
      </c>
      <c r="P68" s="284">
        <f>'KOMITE TEMPO MENURUN'!D21</f>
        <v>30000000</v>
      </c>
      <c r="Q68" s="284"/>
      <c r="R68" s="284"/>
      <c r="S68" s="284"/>
      <c r="T68" s="284"/>
      <c r="U68" s="275"/>
      <c r="V68" s="275"/>
      <c r="W68" s="275"/>
      <c r="X68" s="275"/>
      <c r="Y68" s="275"/>
      <c r="Z68" s="275"/>
      <c r="AA68" s="283"/>
      <c r="AE68" s="271" t="s">
        <v>392</v>
      </c>
      <c r="AF68" s="271"/>
      <c r="AG68" s="271"/>
      <c r="AH68" s="271"/>
      <c r="AI68" s="271"/>
      <c r="AJ68" s="271"/>
      <c r="AK68" s="271"/>
      <c r="AL68" s="271"/>
      <c r="AM68" s="745" t="e">
        <f>AM66*85%</f>
        <v>#REF!</v>
      </c>
    </row>
    <row r="69" spans="9:39" ht="17.25" x14ac:dyDescent="0.3">
      <c r="I69" s="281"/>
      <c r="J69" s="307" t="str">
        <f t="shared" si="9"/>
        <v>Angsuran cimb niaga</v>
      </c>
      <c r="K69" s="284"/>
      <c r="L69" s="275"/>
      <c r="M69" s="275"/>
      <c r="N69" s="274"/>
      <c r="O69" s="280" t="s">
        <v>447</v>
      </c>
      <c r="P69" s="284">
        <f t="shared" si="10"/>
        <v>70000</v>
      </c>
      <c r="Q69" s="284"/>
      <c r="R69" s="284"/>
      <c r="S69" s="284"/>
      <c r="T69" s="284"/>
      <c r="U69" s="275"/>
      <c r="V69" s="275"/>
      <c r="W69" s="275"/>
      <c r="X69" s="275"/>
      <c r="Y69" s="275"/>
      <c r="Z69" s="275"/>
      <c r="AA69" s="283"/>
    </row>
    <row r="70" spans="9:39" ht="17.25" x14ac:dyDescent="0.3">
      <c r="I70" s="281"/>
      <c r="J70" s="307" t="str">
        <f t="shared" si="9"/>
        <v>Sosial &amp; Lain - lain</v>
      </c>
      <c r="K70" s="284"/>
      <c r="L70" s="275"/>
      <c r="M70" s="275"/>
      <c r="N70" s="274"/>
      <c r="O70" s="280" t="s">
        <v>447</v>
      </c>
      <c r="P70" s="284">
        <f t="shared" si="10"/>
        <v>2000000</v>
      </c>
      <c r="Q70" s="284"/>
      <c r="R70" s="284"/>
      <c r="S70" s="284"/>
      <c r="T70" s="284"/>
      <c r="U70" s="275"/>
      <c r="V70" s="275"/>
      <c r="W70" s="275"/>
      <c r="X70" s="275"/>
      <c r="Y70" s="275"/>
      <c r="Z70" s="275"/>
      <c r="AA70" s="283"/>
    </row>
    <row r="71" spans="9:39" ht="17.25" x14ac:dyDescent="0.3">
      <c r="I71" s="281"/>
      <c r="J71" s="809" t="str">
        <f>J52</f>
        <v>TOTAL</v>
      </c>
      <c r="K71" s="810"/>
      <c r="L71" s="811"/>
      <c r="M71" s="811"/>
      <c r="N71" s="812"/>
      <c r="O71" s="782"/>
      <c r="P71" s="679">
        <f>SUM(P64:P70)</f>
        <v>77338584.023785025</v>
      </c>
      <c r="Q71" s="284"/>
      <c r="R71" s="284"/>
      <c r="S71" s="284"/>
      <c r="T71" s="284"/>
      <c r="U71" s="275"/>
      <c r="V71" s="275"/>
      <c r="W71" s="275"/>
      <c r="X71" s="275"/>
      <c r="Y71" s="275"/>
      <c r="Z71" s="275"/>
      <c r="AA71" s="283"/>
    </row>
    <row r="72" spans="9:39" ht="17.25" x14ac:dyDescent="0.3">
      <c r="I72" s="281"/>
      <c r="J72" s="275"/>
      <c r="K72" s="275"/>
      <c r="L72" s="275"/>
      <c r="M72" s="275"/>
      <c r="N72" s="275"/>
      <c r="O72" s="275"/>
      <c r="P72" s="275"/>
      <c r="Q72" s="275"/>
      <c r="R72" s="275"/>
      <c r="S72" s="275"/>
      <c r="T72" s="275"/>
      <c r="U72" s="275"/>
      <c r="V72" s="275"/>
      <c r="W72" s="275"/>
      <c r="X72" s="400"/>
      <c r="Y72" s="275"/>
      <c r="Z72" s="275"/>
      <c r="AA72" s="283"/>
    </row>
    <row r="73" spans="9:39" ht="18" thickBot="1" x14ac:dyDescent="0.35">
      <c r="I73" s="391" t="s">
        <v>131</v>
      </c>
      <c r="J73" s="278"/>
      <c r="K73" s="278"/>
      <c r="L73" s="278"/>
      <c r="M73" s="278"/>
      <c r="N73" s="278"/>
      <c r="O73" s="278"/>
      <c r="P73" s="278"/>
      <c r="Q73" s="278"/>
      <c r="R73" s="278"/>
      <c r="S73" s="278"/>
      <c r="T73" s="278"/>
      <c r="U73" s="278"/>
      <c r="V73" s="278"/>
      <c r="W73" s="278"/>
      <c r="X73" s="278"/>
      <c r="Y73" s="278"/>
      <c r="Z73" s="278"/>
      <c r="AA73" s="272">
        <f>AA42-P71</f>
        <v>10890865.976214975</v>
      </c>
    </row>
    <row r="74" spans="9:39" ht="14.25" thickBot="1" x14ac:dyDescent="0.3">
      <c r="I74" s="937" t="s">
        <v>728</v>
      </c>
      <c r="J74" s="937"/>
      <c r="K74" s="937"/>
      <c r="L74" s="937"/>
      <c r="M74" s="937"/>
      <c r="N74" s="937"/>
      <c r="O74" s="937"/>
      <c r="P74" s="937"/>
      <c r="Q74" s="937"/>
      <c r="R74" s="937"/>
      <c r="S74" s="937"/>
      <c r="T74" s="937"/>
      <c r="U74" s="937"/>
      <c r="V74" s="937"/>
      <c r="W74" s="937"/>
      <c r="X74" s="937"/>
      <c r="Y74" s="937"/>
      <c r="Z74" s="937"/>
      <c r="AA74" s="937"/>
    </row>
    <row r="75" spans="9:39" ht="15" customHeight="1" x14ac:dyDescent="0.25">
      <c r="I75" s="751"/>
      <c r="J75" s="752"/>
      <c r="K75" s="752"/>
      <c r="L75" s="752"/>
      <c r="M75" s="752"/>
      <c r="N75" s="752"/>
      <c r="O75" s="752"/>
      <c r="P75" s="752"/>
      <c r="Q75" s="752"/>
      <c r="R75" s="752"/>
      <c r="S75" s="752"/>
      <c r="T75" s="752"/>
      <c r="U75" s="752"/>
      <c r="V75" s="752"/>
      <c r="W75" s="752"/>
      <c r="X75" s="752"/>
      <c r="Y75" s="752"/>
      <c r="Z75" s="752"/>
      <c r="AA75" s="753"/>
    </row>
    <row r="76" spans="9:39" ht="15" x14ac:dyDescent="0.25">
      <c r="I76" s="754"/>
      <c r="J76" s="755"/>
      <c r="K76" s="755"/>
      <c r="L76" s="755"/>
      <c r="M76" s="755"/>
      <c r="N76" s="755" t="s">
        <v>729</v>
      </c>
      <c r="O76" s="755"/>
      <c r="P76" s="755"/>
      <c r="Q76" s="755"/>
      <c r="R76" s="755"/>
      <c r="S76" s="755"/>
      <c r="T76" s="755"/>
      <c r="U76" s="755"/>
      <c r="V76" s="755"/>
      <c r="W76" s="755"/>
      <c r="X76" s="755"/>
      <c r="Y76" s="755"/>
      <c r="Z76" s="755"/>
      <c r="AA76" s="756"/>
    </row>
    <row r="77" spans="9:39" x14ac:dyDescent="0.25">
      <c r="I77" s="264"/>
      <c r="J77" s="11"/>
      <c r="K77" s="11"/>
      <c r="L77" s="11"/>
      <c r="M77" s="11"/>
      <c r="N77" s="11"/>
      <c r="O77" s="11"/>
      <c r="P77" s="11"/>
      <c r="Q77" s="11"/>
      <c r="R77" s="11"/>
      <c r="S77" s="11"/>
      <c r="T77" s="11"/>
      <c r="U77" s="11"/>
      <c r="V77" s="11"/>
      <c r="W77" s="11"/>
      <c r="X77" s="11"/>
      <c r="Y77" s="11"/>
      <c r="Z77" s="11"/>
      <c r="AA77" s="263"/>
    </row>
    <row r="78" spans="9:39" x14ac:dyDescent="0.25">
      <c r="I78" s="264"/>
      <c r="J78" s="11"/>
      <c r="K78" s="939" t="s">
        <v>730</v>
      </c>
      <c r="L78" s="939"/>
      <c r="M78" s="939"/>
      <c r="N78" s="941" t="s">
        <v>774</v>
      </c>
      <c r="O78" s="942"/>
      <c r="P78" s="942"/>
      <c r="Q78" s="942"/>
      <c r="R78" s="942"/>
      <c r="S78" s="942"/>
      <c r="T78" s="943"/>
      <c r="U78" s="939" t="s">
        <v>390</v>
      </c>
      <c r="V78" s="939"/>
      <c r="W78" s="939"/>
      <c r="X78" s="939"/>
      <c r="Y78" s="11"/>
      <c r="Z78" s="11"/>
      <c r="AA78" s="263"/>
    </row>
    <row r="79" spans="9:39" x14ac:dyDescent="0.25">
      <c r="I79" s="264"/>
      <c r="J79" s="11"/>
      <c r="K79" s="939"/>
      <c r="L79" s="939"/>
      <c r="M79" s="939"/>
      <c r="N79" s="36" t="s">
        <v>731</v>
      </c>
      <c r="O79" s="36" t="s">
        <v>732</v>
      </c>
      <c r="P79" s="407" t="s">
        <v>413</v>
      </c>
      <c r="Q79" s="407" t="s">
        <v>414</v>
      </c>
      <c r="R79" s="407" t="s">
        <v>416</v>
      </c>
      <c r="S79" s="407" t="s">
        <v>415</v>
      </c>
      <c r="T79" s="407" t="s">
        <v>733</v>
      </c>
      <c r="U79" s="939"/>
      <c r="V79" s="939"/>
      <c r="W79" s="939"/>
      <c r="X79" s="939"/>
      <c r="Y79" s="11"/>
      <c r="Z79" s="11"/>
      <c r="AA79" s="263"/>
    </row>
    <row r="80" spans="9:39" ht="16.5" x14ac:dyDescent="0.3">
      <c r="I80" s="264"/>
      <c r="J80" s="11"/>
      <c r="K80" s="938" t="s">
        <v>713</v>
      </c>
      <c r="L80" s="938"/>
      <c r="M80" s="938"/>
      <c r="N80" s="795">
        <v>40000000</v>
      </c>
      <c r="O80" s="795">
        <v>30000000</v>
      </c>
      <c r="P80" s="795">
        <v>40000000</v>
      </c>
      <c r="Q80" s="795">
        <v>55000000</v>
      </c>
      <c r="R80" s="795">
        <v>45000000</v>
      </c>
      <c r="S80" s="795">
        <v>55000000</v>
      </c>
      <c r="T80" s="795">
        <v>50000000</v>
      </c>
      <c r="U80" s="940">
        <f>SUM(N80:T80)</f>
        <v>315000000</v>
      </c>
      <c r="V80" s="940"/>
      <c r="W80" s="940"/>
      <c r="X80" s="940"/>
      <c r="Y80" s="11"/>
      <c r="Z80" s="11"/>
      <c r="AA80" s="263"/>
    </row>
    <row r="81" spans="9:27" ht="16.5" x14ac:dyDescent="0.3">
      <c r="I81" s="264"/>
      <c r="J81" s="11"/>
      <c r="K81" s="938" t="s">
        <v>659</v>
      </c>
      <c r="L81" s="938"/>
      <c r="M81" s="938"/>
      <c r="N81" s="795">
        <v>50000000</v>
      </c>
      <c r="O81" s="795">
        <v>30000000</v>
      </c>
      <c r="P81" s="795">
        <v>50000000</v>
      </c>
      <c r="Q81" s="795">
        <v>45000000</v>
      </c>
      <c r="R81" s="795">
        <v>50000000</v>
      </c>
      <c r="S81" s="795">
        <v>45000000</v>
      </c>
      <c r="T81" s="795">
        <v>35000000</v>
      </c>
      <c r="U81" s="940">
        <f>SUM(N81:T81)</f>
        <v>305000000</v>
      </c>
      <c r="V81" s="940"/>
      <c r="W81" s="940"/>
      <c r="X81" s="940"/>
      <c r="Y81" s="11"/>
      <c r="Z81" s="11"/>
      <c r="AA81" s="263"/>
    </row>
    <row r="82" spans="9:27" ht="17.25" x14ac:dyDescent="0.3">
      <c r="I82" s="273"/>
      <c r="J82" s="274"/>
      <c r="K82" s="938" t="s">
        <v>658</v>
      </c>
      <c r="L82" s="938"/>
      <c r="M82" s="938"/>
      <c r="N82" s="795">
        <v>30000000</v>
      </c>
      <c r="O82" s="795">
        <v>30000000</v>
      </c>
      <c r="P82" s="795">
        <v>50000000</v>
      </c>
      <c r="Q82" s="795">
        <v>50000000</v>
      </c>
      <c r="R82" s="795">
        <v>50000000</v>
      </c>
      <c r="S82" s="795">
        <v>50000000</v>
      </c>
      <c r="T82" s="795">
        <v>45000000</v>
      </c>
      <c r="U82" s="940">
        <f>SUM(U80:X81)</f>
        <v>620000000</v>
      </c>
      <c r="V82" s="940"/>
      <c r="W82" s="940"/>
      <c r="X82" s="940"/>
      <c r="Y82" s="274"/>
      <c r="Z82" s="274"/>
      <c r="AA82" s="279"/>
    </row>
    <row r="83" spans="9:27" ht="17.25" x14ac:dyDescent="0.3">
      <c r="I83" s="273"/>
      <c r="J83" s="274"/>
      <c r="K83" s="18"/>
      <c r="L83" s="18"/>
      <c r="M83" s="18"/>
      <c r="N83" s="794"/>
      <c r="O83" s="794"/>
      <c r="P83" s="794"/>
      <c r="Q83" s="794"/>
      <c r="R83" s="794"/>
      <c r="S83" s="794"/>
      <c r="T83" s="794"/>
      <c r="U83" s="796"/>
      <c r="V83" s="796"/>
      <c r="W83" s="796"/>
      <c r="X83" s="796"/>
      <c r="Y83" s="274"/>
      <c r="Z83" s="274"/>
      <c r="AA83" s="279"/>
    </row>
    <row r="84" spans="9:27" ht="17.25" x14ac:dyDescent="0.3">
      <c r="I84" s="273"/>
      <c r="J84" s="274"/>
      <c r="K84" s="274"/>
      <c r="L84" s="274"/>
      <c r="M84" s="274"/>
      <c r="N84" s="274"/>
      <c r="O84" s="274"/>
      <c r="P84" s="274"/>
      <c r="Q84" s="274"/>
      <c r="R84" s="274"/>
      <c r="S84" s="274"/>
      <c r="T84" s="274"/>
      <c r="U84" s="274"/>
      <c r="V84" s="274"/>
      <c r="W84" s="274"/>
      <c r="X84" s="274"/>
      <c r="Y84" s="280"/>
      <c r="Z84" s="280"/>
      <c r="AA84" s="283"/>
    </row>
    <row r="85" spans="9:27" ht="17.25" x14ac:dyDescent="0.3">
      <c r="I85" s="273"/>
      <c r="J85" s="274"/>
      <c r="K85" s="939" t="s">
        <v>730</v>
      </c>
      <c r="L85" s="939"/>
      <c r="M85" s="939"/>
      <c r="N85" s="941" t="s">
        <v>757</v>
      </c>
      <c r="O85" s="942"/>
      <c r="P85" s="942"/>
      <c r="Q85" s="942"/>
      <c r="R85" s="942"/>
      <c r="S85" s="942"/>
      <c r="T85" s="943"/>
      <c r="U85" s="939" t="s">
        <v>390</v>
      </c>
      <c r="V85" s="939"/>
      <c r="W85" s="939"/>
      <c r="X85" s="939"/>
      <c r="Y85" s="280"/>
      <c r="Z85" s="280"/>
      <c r="AA85" s="283"/>
    </row>
    <row r="86" spans="9:27" ht="17.25" x14ac:dyDescent="0.3">
      <c r="I86" s="273"/>
      <c r="J86" s="274"/>
      <c r="K86" s="939"/>
      <c r="L86" s="939"/>
      <c r="M86" s="939"/>
      <c r="N86" s="36" t="s">
        <v>734</v>
      </c>
      <c r="O86" s="36" t="s">
        <v>735</v>
      </c>
      <c r="P86" s="407" t="s">
        <v>736</v>
      </c>
      <c r="Q86" s="407" t="s">
        <v>737</v>
      </c>
      <c r="R86" s="407" t="s">
        <v>738</v>
      </c>
      <c r="S86" s="407" t="s">
        <v>738</v>
      </c>
      <c r="T86" s="407" t="s">
        <v>731</v>
      </c>
      <c r="U86" s="939"/>
      <c r="V86" s="939"/>
      <c r="W86" s="939"/>
      <c r="X86" s="939"/>
      <c r="Y86" s="280"/>
      <c r="Z86" s="280"/>
      <c r="AA86" s="283"/>
    </row>
    <row r="87" spans="9:27" ht="17.25" x14ac:dyDescent="0.3">
      <c r="I87" s="273"/>
      <c r="J87" s="274"/>
      <c r="K87" s="938" t="s">
        <v>713</v>
      </c>
      <c r="L87" s="938"/>
      <c r="M87" s="938"/>
      <c r="N87" s="795">
        <v>60000000</v>
      </c>
      <c r="O87" s="795">
        <v>45000000</v>
      </c>
      <c r="P87" s="795">
        <v>40000000</v>
      </c>
      <c r="Q87" s="795">
        <v>45000000</v>
      </c>
      <c r="R87" s="795">
        <v>35000000</v>
      </c>
      <c r="S87" s="795"/>
      <c r="T87" s="795"/>
      <c r="U87" s="940">
        <f>SUM(N87:T87)</f>
        <v>225000000</v>
      </c>
      <c r="V87" s="940"/>
      <c r="W87" s="940"/>
      <c r="X87" s="940"/>
      <c r="Y87" s="280"/>
      <c r="Z87" s="280"/>
      <c r="AA87" s="283"/>
    </row>
    <row r="88" spans="9:27" ht="17.25" x14ac:dyDescent="0.3">
      <c r="I88" s="273"/>
      <c r="J88" s="274"/>
      <c r="K88" s="938" t="s">
        <v>659</v>
      </c>
      <c r="L88" s="938"/>
      <c r="M88" s="938"/>
      <c r="N88" s="795">
        <v>50000000</v>
      </c>
      <c r="O88" s="795">
        <v>30000000</v>
      </c>
      <c r="P88" s="795">
        <v>25000000</v>
      </c>
      <c r="Q88" s="795">
        <v>50000000</v>
      </c>
      <c r="R88" s="795">
        <v>35000000</v>
      </c>
      <c r="S88" s="795"/>
      <c r="T88" s="795"/>
      <c r="U88" s="940">
        <f>SUM(N88:T88)</f>
        <v>190000000</v>
      </c>
      <c r="V88" s="940"/>
      <c r="W88" s="940"/>
      <c r="X88" s="940"/>
      <c r="Y88" s="280"/>
      <c r="Z88" s="280"/>
      <c r="AA88" s="283"/>
    </row>
    <row r="89" spans="9:27" ht="17.25" x14ac:dyDescent="0.3">
      <c r="I89" s="273"/>
      <c r="J89" s="274"/>
      <c r="K89" s="938" t="s">
        <v>658</v>
      </c>
      <c r="L89" s="938"/>
      <c r="M89" s="938"/>
      <c r="N89" s="795">
        <v>50000000</v>
      </c>
      <c r="O89" s="795">
        <v>50000000</v>
      </c>
      <c r="P89" s="795">
        <v>45000000</v>
      </c>
      <c r="Q89" s="795">
        <v>55000000</v>
      </c>
      <c r="R89" s="795">
        <v>45000000</v>
      </c>
      <c r="S89" s="795"/>
      <c r="T89" s="795"/>
      <c r="U89" s="940">
        <f>SUM(U87:X88)</f>
        <v>415000000</v>
      </c>
      <c r="V89" s="940"/>
      <c r="W89" s="940"/>
      <c r="X89" s="940"/>
      <c r="Y89" s="274"/>
      <c r="Z89" s="275"/>
      <c r="AA89" s="709"/>
    </row>
    <row r="90" spans="9:27" ht="17.25" x14ac:dyDescent="0.3">
      <c r="I90" s="273"/>
      <c r="J90" s="274"/>
      <c r="K90" s="18"/>
      <c r="L90" s="18"/>
      <c r="M90" s="18"/>
      <c r="N90" s="794"/>
      <c r="O90" s="794"/>
      <c r="P90" s="794"/>
      <c r="Q90" s="794"/>
      <c r="R90" s="794"/>
      <c r="S90" s="794"/>
      <c r="T90" s="794"/>
      <c r="U90" s="796"/>
      <c r="V90" s="796"/>
      <c r="W90" s="796"/>
      <c r="X90" s="796"/>
      <c r="Y90" s="274"/>
      <c r="Z90" s="275"/>
      <c r="AA90" s="709"/>
    </row>
    <row r="91" spans="9:27" ht="17.25" x14ac:dyDescent="0.3">
      <c r="I91" s="273"/>
      <c r="J91" s="274"/>
      <c r="K91" s="18" t="s">
        <v>758</v>
      </c>
      <c r="L91" s="18"/>
      <c r="M91" s="18"/>
      <c r="N91" s="794"/>
      <c r="O91" s="794"/>
      <c r="P91" s="794"/>
      <c r="Q91" s="794"/>
      <c r="R91" s="794"/>
      <c r="S91" s="794"/>
      <c r="T91" s="813">
        <f>U89+U88+U87+U82+U81+U80</f>
        <v>2070000000</v>
      </c>
      <c r="U91" s="796"/>
      <c r="V91" s="796"/>
      <c r="W91" s="796"/>
      <c r="X91" s="796"/>
      <c r="Y91" s="274"/>
      <c r="Z91" s="275"/>
      <c r="AA91" s="709"/>
    </row>
    <row r="92" spans="9:27" ht="17.25" x14ac:dyDescent="0.3">
      <c r="I92" s="273"/>
      <c r="J92" s="274"/>
      <c r="K92" s="18" t="s">
        <v>759</v>
      </c>
      <c r="L92" s="18"/>
      <c r="M92" s="18"/>
      <c r="N92" s="794"/>
      <c r="O92" s="794"/>
      <c r="P92" s="794"/>
      <c r="Q92" s="794"/>
      <c r="R92" s="794"/>
      <c r="S92" s="794"/>
      <c r="T92" s="813">
        <f>'DATA AWAL NASABAH'!B18</f>
        <v>2000000000</v>
      </c>
      <c r="U92" s="796"/>
      <c r="V92" s="796"/>
      <c r="W92" s="796"/>
      <c r="X92" s="796"/>
      <c r="Y92" s="274"/>
      <c r="Z92" s="275"/>
      <c r="AA92" s="709"/>
    </row>
    <row r="93" spans="9:27" ht="17.25" x14ac:dyDescent="0.3">
      <c r="I93" s="273"/>
      <c r="J93" s="274"/>
      <c r="K93" s="91" t="s">
        <v>760</v>
      </c>
      <c r="L93" s="18"/>
      <c r="M93" s="18"/>
      <c r="N93" s="794"/>
      <c r="O93" s="794"/>
      <c r="P93" s="794"/>
      <c r="Q93" s="794"/>
      <c r="R93" s="794"/>
      <c r="S93" s="794"/>
      <c r="T93" s="808">
        <f>T91-T92</f>
        <v>70000000</v>
      </c>
      <c r="U93" s="796"/>
      <c r="V93" s="796"/>
      <c r="W93" s="796"/>
      <c r="X93" s="796"/>
      <c r="Y93" s="274"/>
      <c r="Z93" s="275"/>
      <c r="AA93" s="709"/>
    </row>
    <row r="94" spans="9:27" ht="17.25" x14ac:dyDescent="0.3">
      <c r="I94" s="273"/>
      <c r="J94" s="274"/>
      <c r="K94" s="18"/>
      <c r="L94" s="18"/>
      <c r="M94" s="18"/>
      <c r="N94" s="794"/>
      <c r="O94" s="794"/>
      <c r="P94" s="794"/>
      <c r="Q94" s="794"/>
      <c r="R94" s="794"/>
      <c r="S94" s="794"/>
      <c r="T94" s="794"/>
      <c r="U94" s="796"/>
      <c r="V94" s="796"/>
      <c r="W94" s="796"/>
      <c r="X94" s="796"/>
      <c r="Y94" s="274"/>
      <c r="Z94" s="275"/>
      <c r="AA94" s="709"/>
    </row>
    <row r="95" spans="9:27" ht="14.25" thickBot="1" x14ac:dyDescent="0.3">
      <c r="I95" s="301"/>
      <c r="J95" s="267"/>
      <c r="K95" s="267"/>
      <c r="L95" s="267"/>
      <c r="M95" s="267"/>
      <c r="N95" s="267"/>
      <c r="O95" s="267"/>
      <c r="P95" s="267"/>
      <c r="Q95" s="267"/>
      <c r="R95" s="267"/>
      <c r="S95" s="267"/>
      <c r="T95" s="267"/>
      <c r="U95" s="267"/>
      <c r="V95" s="267"/>
      <c r="W95" s="267"/>
      <c r="X95" s="267"/>
      <c r="Y95" s="267"/>
      <c r="Z95" s="267"/>
      <c r="AA95" s="265"/>
    </row>
    <row r="96" spans="9:27" x14ac:dyDescent="0.25">
      <c r="I96" s="17"/>
      <c r="J96" s="11"/>
      <c r="K96" s="11"/>
      <c r="L96" s="11"/>
      <c r="M96" s="11"/>
      <c r="N96" s="11"/>
      <c r="O96" s="11"/>
      <c r="P96" s="11"/>
      <c r="Q96" s="11"/>
      <c r="R96" s="11"/>
      <c r="S96" s="11"/>
      <c r="T96" s="11"/>
      <c r="U96" s="11"/>
      <c r="V96" s="11"/>
      <c r="W96" s="11"/>
      <c r="X96" s="11"/>
      <c r="Y96" s="11"/>
      <c r="Z96" s="11"/>
      <c r="AA96" s="11"/>
    </row>
    <row r="97" spans="9:27" x14ac:dyDescent="0.25">
      <c r="I97" s="11"/>
      <c r="J97" s="11"/>
      <c r="K97" s="11"/>
      <c r="L97" s="11"/>
      <c r="M97" s="11"/>
      <c r="N97" s="11"/>
      <c r="O97" s="11"/>
      <c r="P97" s="11"/>
      <c r="Q97" s="11"/>
      <c r="R97" s="11"/>
      <c r="S97" s="11"/>
      <c r="T97" s="11"/>
      <c r="U97" s="11"/>
      <c r="V97" s="11"/>
      <c r="W97" s="11"/>
      <c r="X97" s="11"/>
      <c r="Y97" s="11"/>
      <c r="Z97" s="11"/>
      <c r="AA97" s="11"/>
    </row>
    <row r="98" spans="9:27" x14ac:dyDescent="0.25">
      <c r="I98" s="11"/>
      <c r="J98" s="11"/>
      <c r="K98" s="11"/>
      <c r="L98" s="11"/>
      <c r="M98" s="11"/>
      <c r="N98" s="11"/>
      <c r="O98" s="11"/>
      <c r="P98" s="11"/>
      <c r="Q98" s="11"/>
      <c r="R98" s="11"/>
      <c r="S98" s="11"/>
      <c r="T98" s="11"/>
      <c r="U98" s="11"/>
      <c r="V98" s="11"/>
      <c r="W98" s="11"/>
      <c r="X98" s="11"/>
      <c r="Y98" s="11"/>
      <c r="Z98" s="11"/>
      <c r="AA98" s="11"/>
    </row>
    <row r="99" spans="9:27" x14ac:dyDescent="0.25">
      <c r="I99" s="11"/>
      <c r="J99" s="11"/>
      <c r="K99" s="11"/>
      <c r="L99" s="11"/>
      <c r="M99" s="11"/>
      <c r="N99" s="11"/>
      <c r="O99" s="11"/>
      <c r="P99" s="11"/>
      <c r="Q99" s="11"/>
      <c r="R99" s="11"/>
      <c r="S99" s="11"/>
      <c r="T99" s="11"/>
      <c r="U99" s="11"/>
      <c r="V99" s="11"/>
      <c r="W99" s="11"/>
      <c r="X99" s="11"/>
      <c r="Y99" s="11"/>
      <c r="Z99" s="11"/>
      <c r="AA99" s="11"/>
    </row>
    <row r="100" spans="9:27" x14ac:dyDescent="0.25">
      <c r="I100" s="11"/>
      <c r="J100" s="11"/>
      <c r="K100" s="11"/>
      <c r="L100" s="11"/>
      <c r="M100" s="11"/>
      <c r="N100" s="11"/>
      <c r="O100" s="11"/>
      <c r="P100" s="11"/>
      <c r="Q100" s="11"/>
      <c r="R100" s="11"/>
      <c r="S100" s="11"/>
      <c r="T100" s="11"/>
      <c r="U100" s="11"/>
      <c r="V100" s="11"/>
      <c r="W100" s="11"/>
      <c r="X100" s="11"/>
      <c r="Y100" s="11"/>
      <c r="Z100" s="11"/>
      <c r="AA100" s="11"/>
    </row>
    <row r="101" spans="9:27" x14ac:dyDescent="0.25">
      <c r="I101" s="11"/>
      <c r="J101" s="11"/>
      <c r="K101" s="11"/>
      <c r="L101" s="11"/>
      <c r="M101" s="11"/>
      <c r="N101" s="11"/>
      <c r="O101" s="11"/>
      <c r="P101" s="11"/>
      <c r="Q101" s="11"/>
      <c r="R101" s="11"/>
      <c r="S101" s="11"/>
      <c r="T101" s="11"/>
      <c r="U101" s="11"/>
      <c r="V101" s="11"/>
      <c r="W101" s="11"/>
      <c r="X101" s="11"/>
      <c r="Y101" s="11"/>
      <c r="Z101" s="11"/>
      <c r="AA101" s="11"/>
    </row>
    <row r="102" spans="9:27" x14ac:dyDescent="0.25">
      <c r="I102" s="11"/>
      <c r="J102" s="11"/>
      <c r="K102" s="11"/>
      <c r="L102" s="11"/>
      <c r="M102" s="11"/>
      <c r="N102" s="11"/>
      <c r="O102" s="11"/>
      <c r="P102" s="11"/>
      <c r="Q102" s="11"/>
      <c r="R102" s="11"/>
      <c r="S102" s="11"/>
      <c r="T102" s="11"/>
      <c r="U102" s="11"/>
      <c r="V102" s="11"/>
      <c r="W102" s="11"/>
      <c r="X102" s="11"/>
      <c r="Y102" s="11"/>
      <c r="Z102" s="11"/>
      <c r="AA102" s="11"/>
    </row>
    <row r="103" spans="9:27" x14ac:dyDescent="0.25">
      <c r="I103" s="11"/>
      <c r="J103" s="11"/>
      <c r="K103" s="11"/>
      <c r="L103" s="11"/>
      <c r="M103" s="11"/>
      <c r="N103" s="11"/>
      <c r="O103" s="11"/>
      <c r="P103" s="11"/>
      <c r="Q103" s="11"/>
      <c r="R103" s="11"/>
      <c r="S103" s="11"/>
      <c r="T103" s="11"/>
      <c r="U103" s="11"/>
      <c r="V103" s="11"/>
      <c r="W103" s="11"/>
      <c r="X103" s="11"/>
      <c r="Y103" s="11"/>
      <c r="Z103" s="11"/>
      <c r="AA103" s="11"/>
    </row>
    <row r="104" spans="9:27" x14ac:dyDescent="0.25">
      <c r="I104" s="11"/>
      <c r="J104" s="11"/>
      <c r="K104" s="11"/>
      <c r="L104" s="11"/>
      <c r="M104" s="11"/>
      <c r="N104" s="11"/>
      <c r="O104" s="11"/>
      <c r="P104" s="11"/>
      <c r="Q104" s="11"/>
      <c r="R104" s="11"/>
      <c r="S104" s="11"/>
      <c r="T104" s="11"/>
      <c r="U104" s="11"/>
      <c r="V104" s="11"/>
      <c r="W104" s="11"/>
      <c r="X104" s="11"/>
      <c r="Y104" s="11"/>
      <c r="Z104" s="11"/>
      <c r="AA104" s="11"/>
    </row>
    <row r="113" spans="9:27" ht="15.75" x14ac:dyDescent="0.25">
      <c r="I113" s="271"/>
      <c r="J113" s="271"/>
      <c r="K113" s="271"/>
      <c r="L113" s="271"/>
      <c r="M113" s="271"/>
      <c r="N113" s="271"/>
      <c r="O113" s="271"/>
      <c r="P113" s="271"/>
      <c r="Q113" s="271"/>
      <c r="R113" s="271"/>
      <c r="S113" s="271"/>
      <c r="T113" s="271"/>
      <c r="U113" s="271"/>
      <c r="V113" s="271"/>
      <c r="W113" s="271"/>
      <c r="X113" s="271"/>
      <c r="Y113" s="271"/>
      <c r="Z113" s="271"/>
      <c r="AA113" s="271"/>
    </row>
    <row r="114" spans="9:27" x14ac:dyDescent="0.25">
      <c r="I114" s="11"/>
      <c r="J114" s="11"/>
      <c r="K114" s="11"/>
      <c r="L114" s="11"/>
      <c r="M114" s="11"/>
      <c r="N114" s="11"/>
      <c r="O114" s="11"/>
      <c r="P114" s="11"/>
      <c r="Q114" s="11"/>
      <c r="R114" s="11"/>
      <c r="S114" s="11"/>
      <c r="T114" s="11"/>
      <c r="U114" s="11"/>
      <c r="V114" s="11"/>
      <c r="W114" s="11"/>
      <c r="X114" s="11"/>
      <c r="Y114" s="11"/>
      <c r="Z114" s="11"/>
      <c r="AA114" s="11"/>
    </row>
    <row r="115" spans="9:27" ht="17.25" x14ac:dyDescent="0.3">
      <c r="I115" s="274"/>
      <c r="J115" s="274"/>
      <c r="K115" s="274"/>
      <c r="L115" s="274"/>
      <c r="M115" s="274"/>
      <c r="N115" s="274"/>
      <c r="O115" s="274"/>
      <c r="P115" s="274"/>
      <c r="Q115" s="274"/>
      <c r="R115" s="274"/>
      <c r="S115" s="274"/>
      <c r="T115" s="274"/>
      <c r="U115" s="274"/>
      <c r="V115" s="274"/>
      <c r="W115" s="274"/>
      <c r="X115" s="274"/>
      <c r="Y115" s="274"/>
      <c r="Z115" s="274"/>
      <c r="AA115" s="274"/>
    </row>
    <row r="116" spans="9:27" ht="17.25" x14ac:dyDescent="0.3">
      <c r="I116" s="275"/>
      <c r="J116" s="307"/>
      <c r="K116" s="307"/>
      <c r="L116" s="307"/>
      <c r="M116" s="307"/>
      <c r="N116" s="307"/>
      <c r="O116" s="275"/>
      <c r="P116" s="275"/>
      <c r="Q116" s="275"/>
      <c r="R116" s="275"/>
      <c r="S116" s="275"/>
      <c r="T116" s="275"/>
      <c r="U116" s="275"/>
      <c r="V116" s="275"/>
      <c r="W116" s="275"/>
      <c r="X116" s="306"/>
      <c r="Y116" s="275"/>
      <c r="Z116" s="275"/>
      <c r="AA116" s="271"/>
    </row>
    <row r="117" spans="9:27" x14ac:dyDescent="0.25">
      <c r="I117" s="11"/>
      <c r="J117" s="11"/>
      <c r="K117" s="11"/>
      <c r="L117" s="11"/>
      <c r="M117" s="11"/>
      <c r="N117" s="11"/>
      <c r="O117" s="11"/>
      <c r="P117" s="11"/>
      <c r="Q117" s="11"/>
      <c r="R117" s="11"/>
      <c r="S117" s="11"/>
      <c r="T117" s="11"/>
      <c r="U117" s="11"/>
      <c r="V117" s="11"/>
      <c r="W117" s="11"/>
      <c r="X117" s="11"/>
      <c r="Y117" s="11"/>
      <c r="Z117" s="11"/>
      <c r="AA117" s="11"/>
    </row>
    <row r="118" spans="9:27" ht="17.25" x14ac:dyDescent="0.3">
      <c r="I118" s="275"/>
      <c r="J118" s="275"/>
      <c r="K118" s="275"/>
      <c r="L118" s="275"/>
      <c r="M118" s="275"/>
      <c r="N118" s="275"/>
      <c r="O118" s="275"/>
      <c r="P118" s="275"/>
      <c r="Q118" s="275"/>
      <c r="R118" s="275"/>
      <c r="S118" s="275"/>
      <c r="T118" s="275"/>
      <c r="U118" s="275"/>
      <c r="V118" s="275"/>
      <c r="W118" s="275"/>
      <c r="X118" s="275"/>
      <c r="Y118" s="275"/>
      <c r="Z118" s="271"/>
      <c r="AA118" s="275"/>
    </row>
    <row r="119" spans="9:27" ht="17.25" x14ac:dyDescent="0.3">
      <c r="I119" s="275"/>
      <c r="J119" s="275"/>
      <c r="K119" s="275"/>
      <c r="L119" s="275"/>
      <c r="M119" s="275"/>
      <c r="N119" s="274"/>
      <c r="O119" s="280"/>
      <c r="P119" s="306"/>
      <c r="Q119" s="400"/>
      <c r="R119" s="400"/>
      <c r="S119" s="400"/>
      <c r="T119" s="306"/>
      <c r="U119" s="275"/>
      <c r="V119" s="275"/>
      <c r="W119" s="275"/>
      <c r="X119" s="275"/>
      <c r="Y119" s="275"/>
      <c r="Z119" s="275"/>
      <c r="AA119" s="275"/>
    </row>
    <row r="120" spans="9:27" ht="17.25" x14ac:dyDescent="0.3">
      <c r="I120" s="275"/>
      <c r="J120" s="275"/>
      <c r="K120" s="275"/>
      <c r="L120" s="275"/>
      <c r="M120" s="275"/>
      <c r="N120" s="274"/>
      <c r="O120" s="280"/>
      <c r="P120" s="306"/>
      <c r="Q120" s="400"/>
      <c r="R120" s="400"/>
      <c r="S120" s="400"/>
      <c r="T120" s="306"/>
      <c r="U120" s="275"/>
      <c r="V120" s="275"/>
      <c r="W120" s="275"/>
      <c r="X120" s="275"/>
      <c r="Y120" s="275"/>
      <c r="Z120" s="275"/>
      <c r="AA120" s="275"/>
    </row>
    <row r="121" spans="9:27" ht="17.25" x14ac:dyDescent="0.3">
      <c r="I121" s="275"/>
      <c r="J121" s="275"/>
      <c r="K121" s="275"/>
      <c r="L121" s="275"/>
      <c r="M121" s="275"/>
      <c r="N121" s="274"/>
      <c r="O121" s="280"/>
      <c r="P121" s="306"/>
      <c r="Q121" s="400"/>
      <c r="R121" s="400"/>
      <c r="S121" s="400"/>
      <c r="T121" s="306"/>
      <c r="U121" s="275"/>
      <c r="V121" s="275"/>
      <c r="W121" s="275"/>
      <c r="X121" s="275"/>
      <c r="Y121" s="275"/>
      <c r="Z121" s="275"/>
      <c r="AA121" s="275"/>
    </row>
    <row r="122" spans="9:27" ht="17.25" x14ac:dyDescent="0.3">
      <c r="I122" s="11"/>
      <c r="J122" s="274"/>
      <c r="K122" s="274"/>
      <c r="L122" s="274"/>
      <c r="M122" s="274"/>
      <c r="N122" s="274"/>
      <c r="O122" s="280"/>
      <c r="P122" s="305"/>
      <c r="Q122" s="305"/>
      <c r="R122" s="305"/>
      <c r="S122" s="305"/>
      <c r="T122" s="11"/>
      <c r="U122" s="11"/>
      <c r="V122" s="11"/>
      <c r="W122" s="11"/>
      <c r="X122" s="11"/>
      <c r="Y122" s="11"/>
      <c r="Z122" s="11"/>
      <c r="AA122" s="11"/>
    </row>
    <row r="123" spans="9:27" ht="17.25" x14ac:dyDescent="0.3">
      <c r="I123" s="275"/>
      <c r="J123" s="275"/>
      <c r="K123" s="275"/>
      <c r="L123" s="275"/>
      <c r="M123" s="275"/>
      <c r="N123" s="274"/>
      <c r="O123" s="280"/>
      <c r="P123" s="306"/>
      <c r="Q123" s="400"/>
      <c r="R123" s="400"/>
      <c r="S123" s="400"/>
      <c r="T123" s="306"/>
      <c r="U123" s="275"/>
      <c r="V123" s="275"/>
      <c r="W123" s="275"/>
      <c r="X123" s="275"/>
      <c r="Y123" s="275"/>
      <c r="Z123" s="275"/>
      <c r="AA123" s="275"/>
    </row>
    <row r="124" spans="9:27" ht="17.25" x14ac:dyDescent="0.3">
      <c r="I124" s="275"/>
      <c r="J124" s="275"/>
      <c r="K124" s="275"/>
      <c r="L124" s="275"/>
      <c r="M124" s="275"/>
      <c r="N124" s="274"/>
      <c r="O124" s="280"/>
      <c r="P124" s="287"/>
      <c r="Q124" s="287"/>
      <c r="R124" s="287"/>
      <c r="S124" s="287"/>
      <c r="T124" s="287"/>
      <c r="U124" s="271"/>
      <c r="V124" s="271"/>
      <c r="W124" s="271"/>
      <c r="X124" s="271"/>
      <c r="Y124" s="271"/>
      <c r="Z124" s="275"/>
      <c r="AA124" s="275"/>
    </row>
    <row r="125" spans="9:27" ht="17.25" x14ac:dyDescent="0.3">
      <c r="I125" s="275"/>
      <c r="J125" s="275"/>
      <c r="K125" s="275"/>
      <c r="L125" s="275"/>
      <c r="M125" s="275"/>
      <c r="N125" s="275"/>
      <c r="O125" s="275"/>
      <c r="P125" s="275"/>
      <c r="Q125" s="275"/>
      <c r="R125" s="275"/>
      <c r="S125" s="275"/>
      <c r="T125" s="275"/>
      <c r="U125" s="275"/>
      <c r="V125" s="275"/>
      <c r="W125" s="275"/>
      <c r="X125" s="306"/>
      <c r="Y125" s="275"/>
      <c r="Z125" s="275"/>
      <c r="AA125" s="275"/>
    </row>
    <row r="126" spans="9:27" ht="17.25" x14ac:dyDescent="0.3">
      <c r="I126" s="275"/>
      <c r="J126" s="275"/>
      <c r="K126" s="275"/>
      <c r="L126" s="275"/>
      <c r="M126" s="275"/>
      <c r="N126" s="275"/>
      <c r="O126" s="275"/>
      <c r="P126" s="275"/>
      <c r="Q126" s="275"/>
      <c r="R126" s="275"/>
      <c r="S126" s="275"/>
      <c r="T126" s="275"/>
      <c r="U126" s="275"/>
      <c r="V126" s="275"/>
      <c r="W126" s="275"/>
      <c r="X126" s="275"/>
      <c r="Y126" s="275"/>
      <c r="Z126" s="275"/>
      <c r="AA126" s="271"/>
    </row>
    <row r="127" spans="9:27" ht="17.25" x14ac:dyDescent="0.3">
      <c r="I127" s="275"/>
      <c r="J127" s="275"/>
      <c r="K127" s="275"/>
      <c r="L127" s="275"/>
      <c r="M127" s="275"/>
      <c r="N127" s="275"/>
      <c r="O127" s="275"/>
      <c r="P127" s="275"/>
      <c r="Q127" s="275"/>
      <c r="R127" s="275"/>
      <c r="S127" s="275"/>
      <c r="T127" s="275"/>
      <c r="U127" s="275"/>
      <c r="V127" s="275"/>
      <c r="W127" s="275"/>
      <c r="X127" s="275"/>
      <c r="Y127" s="275"/>
      <c r="Z127" s="275"/>
      <c r="AA127" s="11"/>
    </row>
    <row r="128" spans="9:27" ht="15.75" x14ac:dyDescent="0.25">
      <c r="I128" s="271"/>
      <c r="J128" s="271"/>
      <c r="K128" s="271"/>
      <c r="L128" s="271"/>
      <c r="M128" s="271"/>
      <c r="N128" s="271"/>
      <c r="O128" s="271"/>
      <c r="P128" s="271"/>
      <c r="Q128" s="271"/>
      <c r="R128" s="271"/>
      <c r="S128" s="271"/>
      <c r="T128" s="271"/>
      <c r="U128" s="271"/>
      <c r="V128" s="271"/>
      <c r="W128" s="271"/>
      <c r="X128" s="271"/>
      <c r="Y128" s="271"/>
      <c r="Z128" s="271"/>
      <c r="AA128" s="271"/>
    </row>
    <row r="129" spans="9:27" x14ac:dyDescent="0.25">
      <c r="I129" s="11"/>
      <c r="J129" s="11"/>
      <c r="K129" s="11"/>
      <c r="L129" s="11"/>
      <c r="M129" s="11"/>
      <c r="N129" s="11"/>
      <c r="O129" s="11"/>
      <c r="P129" s="11"/>
      <c r="Q129" s="11"/>
      <c r="R129" s="11"/>
      <c r="S129" s="11"/>
      <c r="T129" s="11"/>
      <c r="U129" s="11"/>
      <c r="V129" s="11"/>
      <c r="W129" s="11"/>
      <c r="X129" s="11"/>
      <c r="Y129" s="11"/>
      <c r="Z129" s="11"/>
      <c r="AA129" s="11"/>
    </row>
    <row r="130" spans="9:27" x14ac:dyDescent="0.25">
      <c r="I130" s="11"/>
      <c r="J130" s="11"/>
      <c r="K130" s="11"/>
      <c r="L130" s="11"/>
      <c r="M130" s="11"/>
      <c r="N130" s="11"/>
      <c r="O130" s="11"/>
      <c r="P130" s="11"/>
      <c r="Q130" s="11"/>
      <c r="R130" s="11"/>
      <c r="S130" s="11"/>
      <c r="T130" s="11"/>
      <c r="U130" s="11"/>
      <c r="V130" s="11"/>
      <c r="W130" s="11"/>
      <c r="X130" s="11"/>
      <c r="Y130" s="11"/>
      <c r="Z130" s="11"/>
      <c r="AA130" s="11"/>
    </row>
    <row r="131" spans="9:27" x14ac:dyDescent="0.25">
      <c r="I131" s="11"/>
      <c r="J131" s="11"/>
      <c r="K131" s="11"/>
      <c r="L131" s="11"/>
      <c r="M131" s="11"/>
      <c r="N131" s="11"/>
      <c r="O131" s="11"/>
      <c r="P131" s="11"/>
      <c r="Q131" s="11"/>
      <c r="R131" s="11"/>
      <c r="S131" s="11"/>
      <c r="T131" s="11"/>
      <c r="U131" s="11"/>
      <c r="V131" s="11"/>
      <c r="W131" s="11"/>
      <c r="X131" s="11"/>
      <c r="Y131" s="11"/>
      <c r="Z131" s="11"/>
      <c r="AA131" s="11"/>
    </row>
    <row r="132" spans="9:27" x14ac:dyDescent="0.25">
      <c r="I132" s="11"/>
      <c r="J132" s="11"/>
      <c r="K132" s="11"/>
      <c r="L132" s="11"/>
      <c r="M132" s="11"/>
      <c r="N132" s="11"/>
      <c r="O132" s="11"/>
      <c r="P132" s="11"/>
      <c r="Q132" s="11"/>
      <c r="R132" s="11"/>
      <c r="S132" s="11"/>
      <c r="T132" s="11"/>
      <c r="U132" s="11"/>
      <c r="V132" s="11"/>
      <c r="W132" s="11"/>
      <c r="X132" s="11"/>
      <c r="Y132" s="11"/>
      <c r="Z132" s="11"/>
      <c r="AA132" s="11"/>
    </row>
    <row r="133" spans="9:27" x14ac:dyDescent="0.25">
      <c r="I133" s="11"/>
      <c r="J133" s="11"/>
      <c r="K133" s="11"/>
      <c r="L133" s="11"/>
      <c r="M133" s="11"/>
      <c r="N133" s="11"/>
      <c r="O133" s="11"/>
      <c r="P133" s="11"/>
      <c r="Q133" s="11"/>
      <c r="R133" s="11"/>
      <c r="S133" s="11"/>
      <c r="T133" s="11"/>
      <c r="U133" s="11"/>
      <c r="V133" s="11"/>
      <c r="W133" s="11"/>
      <c r="X133" s="11"/>
      <c r="Y133" s="11"/>
      <c r="Z133" s="11"/>
      <c r="AA133" s="11"/>
    </row>
    <row r="134" spans="9:27" x14ac:dyDescent="0.25">
      <c r="I134" s="11"/>
      <c r="J134" s="11"/>
      <c r="K134" s="11"/>
      <c r="L134" s="11"/>
      <c r="M134" s="11"/>
      <c r="N134" s="11"/>
      <c r="O134" s="11"/>
      <c r="P134" s="11"/>
      <c r="Q134" s="11"/>
      <c r="R134" s="11"/>
      <c r="S134" s="11"/>
      <c r="T134" s="11"/>
      <c r="U134" s="11"/>
      <c r="V134" s="11"/>
      <c r="W134" s="11"/>
      <c r="X134" s="11"/>
      <c r="Y134" s="11"/>
      <c r="Z134" s="11"/>
      <c r="AA134" s="11"/>
    </row>
    <row r="135" spans="9:27" ht="15" x14ac:dyDescent="0.25">
      <c r="I135" s="309"/>
      <c r="J135" s="310"/>
      <c r="K135" s="11"/>
      <c r="L135" s="11"/>
      <c r="M135" s="11"/>
      <c r="N135" s="311"/>
      <c r="O135" s="231"/>
      <c r="P135" s="231"/>
      <c r="Q135" s="231"/>
      <c r="R135" s="231"/>
      <c r="S135" s="231"/>
      <c r="T135" s="231"/>
      <c r="U135" s="231"/>
      <c r="V135" s="231"/>
      <c r="W135" s="231"/>
      <c r="X135" s="231"/>
      <c r="Y135" s="231"/>
      <c r="Z135" s="231"/>
      <c r="AA135" s="11"/>
    </row>
    <row r="136" spans="9:27" ht="15" x14ac:dyDescent="0.25">
      <c r="I136" s="309"/>
      <c r="J136" s="310"/>
      <c r="K136" s="11"/>
      <c r="L136" s="11"/>
      <c r="M136" s="11"/>
      <c r="N136" s="311"/>
      <c r="O136" s="231"/>
      <c r="P136" s="231"/>
      <c r="Q136" s="231"/>
      <c r="R136" s="231"/>
      <c r="S136" s="231"/>
      <c r="T136" s="231"/>
      <c r="U136" s="231"/>
      <c r="V136" s="231"/>
      <c r="W136" s="231"/>
      <c r="X136" s="231"/>
      <c r="Y136" s="231"/>
      <c r="Z136" s="231"/>
      <c r="AA136" s="11"/>
    </row>
    <row r="137" spans="9:27" ht="15" x14ac:dyDescent="0.25">
      <c r="I137" s="309"/>
      <c r="J137" s="309"/>
      <c r="K137" s="309"/>
      <c r="L137" s="309"/>
      <c r="M137" s="309"/>
      <c r="N137" s="311"/>
      <c r="O137" s="231"/>
      <c r="P137" s="231"/>
      <c r="Q137" s="231"/>
      <c r="R137" s="231"/>
      <c r="S137" s="231"/>
      <c r="T137" s="231"/>
      <c r="U137" s="231"/>
      <c r="V137" s="231"/>
      <c r="W137" s="231"/>
      <c r="X137" s="231"/>
      <c r="Y137" s="231"/>
      <c r="Z137" s="231"/>
      <c r="AA137" s="11"/>
    </row>
    <row r="138" spans="9:27" ht="15" x14ac:dyDescent="0.25">
      <c r="I138" s="309"/>
      <c r="J138" s="309"/>
      <c r="K138" s="309"/>
      <c r="L138" s="309"/>
      <c r="M138" s="309"/>
      <c r="N138" s="311"/>
      <c r="O138" s="185"/>
      <c r="P138" s="185"/>
      <c r="Q138" s="185"/>
      <c r="R138" s="185"/>
      <c r="S138" s="185"/>
      <c r="T138" s="185"/>
      <c r="U138" s="185"/>
      <c r="V138" s="185"/>
      <c r="W138" s="185"/>
      <c r="X138" s="185"/>
      <c r="Y138" s="185"/>
      <c r="Z138" s="231"/>
      <c r="AA138" s="11"/>
    </row>
    <row r="139" spans="9:27" ht="15" x14ac:dyDescent="0.25">
      <c r="I139" s="309"/>
      <c r="J139" s="309"/>
      <c r="K139" s="309"/>
      <c r="L139" s="309"/>
      <c r="M139" s="309"/>
      <c r="N139" s="309"/>
      <c r="O139" s="231"/>
      <c r="P139" s="312"/>
      <c r="Q139" s="312"/>
      <c r="R139" s="312"/>
      <c r="S139" s="312"/>
      <c r="T139" s="231"/>
      <c r="U139" s="231"/>
      <c r="V139" s="231"/>
      <c r="W139" s="231"/>
      <c r="X139" s="231"/>
      <c r="Y139" s="231"/>
      <c r="Z139" s="231"/>
      <c r="AA139" s="11"/>
    </row>
    <row r="140" spans="9:27" ht="15" x14ac:dyDescent="0.25">
      <c r="I140" s="309"/>
      <c r="J140" s="309"/>
      <c r="K140" s="309"/>
      <c r="L140" s="309"/>
      <c r="M140" s="309"/>
      <c r="N140" s="309"/>
      <c r="O140" s="231"/>
      <c r="P140" s="231"/>
      <c r="Q140" s="231"/>
      <c r="R140" s="231"/>
      <c r="S140" s="231"/>
      <c r="T140" s="231"/>
      <c r="U140" s="231"/>
      <c r="V140" s="231"/>
      <c r="W140" s="231"/>
      <c r="X140" s="231"/>
      <c r="Y140" s="231"/>
      <c r="Z140" s="185"/>
      <c r="AA140" s="11"/>
    </row>
    <row r="141" spans="9:27" ht="15" x14ac:dyDescent="0.25">
      <c r="I141" s="309"/>
      <c r="J141" s="309"/>
      <c r="K141" s="309"/>
      <c r="L141" s="309"/>
      <c r="M141" s="309"/>
      <c r="N141" s="309"/>
      <c r="O141" s="231"/>
      <c r="P141" s="231"/>
      <c r="Q141" s="231"/>
      <c r="R141" s="231"/>
      <c r="S141" s="231"/>
      <c r="T141" s="231"/>
      <c r="U141" s="231"/>
      <c r="V141" s="231"/>
      <c r="W141" s="231"/>
      <c r="X141" s="231"/>
      <c r="Y141" s="231"/>
      <c r="Z141" s="185"/>
      <c r="AA141" s="11"/>
    </row>
    <row r="142" spans="9:27" ht="15.75" x14ac:dyDescent="0.25">
      <c r="I142" s="313"/>
      <c r="J142" s="313"/>
      <c r="K142" s="313"/>
      <c r="L142" s="313"/>
      <c r="M142" s="313"/>
      <c r="N142" s="313"/>
      <c r="O142" s="314"/>
      <c r="P142" s="314"/>
      <c r="Q142" s="314"/>
      <c r="R142" s="314"/>
      <c r="S142" s="314"/>
      <c r="T142" s="314"/>
      <c r="U142" s="314"/>
      <c r="V142" s="314"/>
      <c r="W142" s="314"/>
      <c r="X142" s="314"/>
      <c r="Y142" s="314"/>
      <c r="Z142" s="314"/>
      <c r="AA142" s="11"/>
    </row>
    <row r="143" spans="9:27" ht="15" x14ac:dyDescent="0.25">
      <c r="I143" s="315"/>
      <c r="J143" s="315"/>
      <c r="K143" s="315"/>
      <c r="L143" s="315"/>
      <c r="M143" s="315"/>
      <c r="N143" s="315"/>
      <c r="O143" s="316"/>
      <c r="P143" s="316"/>
      <c r="Q143" s="316"/>
      <c r="R143" s="316"/>
      <c r="S143" s="316"/>
      <c r="T143" s="316"/>
      <c r="U143" s="316"/>
      <c r="V143" s="316"/>
      <c r="W143" s="316"/>
      <c r="X143" s="316"/>
      <c r="Y143" s="316"/>
      <c r="Z143" s="316"/>
      <c r="AA143" s="11"/>
    </row>
    <row r="144" spans="9:27" x14ac:dyDescent="0.25">
      <c r="I144" s="11"/>
      <c r="J144" s="11"/>
      <c r="K144" s="11"/>
      <c r="L144" s="11"/>
      <c r="M144" s="11"/>
      <c r="N144" s="11"/>
      <c r="O144" s="11"/>
      <c r="P144" s="11"/>
      <c r="Q144" s="11"/>
      <c r="R144" s="11"/>
      <c r="S144" s="11"/>
      <c r="T144" s="11"/>
      <c r="U144" s="11"/>
      <c r="V144" s="11"/>
      <c r="W144" s="11"/>
      <c r="X144" s="11"/>
      <c r="Y144" s="11"/>
      <c r="Z144" s="11"/>
      <c r="AA144" s="11"/>
    </row>
    <row r="145" spans="9:27" x14ac:dyDescent="0.25">
      <c r="I145" s="11"/>
      <c r="J145" s="11"/>
      <c r="K145" s="11"/>
      <c r="L145" s="11"/>
      <c r="M145" s="11"/>
      <c r="N145" s="11"/>
      <c r="O145" s="11"/>
      <c r="P145" s="11"/>
      <c r="Q145" s="11"/>
      <c r="R145" s="11"/>
      <c r="S145" s="11"/>
      <c r="T145" s="11"/>
      <c r="U145" s="11"/>
      <c r="V145" s="11"/>
      <c r="W145" s="11"/>
      <c r="X145" s="11"/>
      <c r="Y145" s="11"/>
      <c r="Z145" s="11"/>
      <c r="AA145" s="11"/>
    </row>
    <row r="146" spans="9:27" x14ac:dyDescent="0.25">
      <c r="I146" s="11"/>
      <c r="J146" s="11"/>
      <c r="K146" s="11"/>
      <c r="L146" s="11"/>
      <c r="M146" s="11"/>
      <c r="N146" s="11"/>
      <c r="O146" s="11"/>
      <c r="P146" s="11"/>
      <c r="Q146" s="11"/>
      <c r="R146" s="11"/>
      <c r="S146" s="11"/>
      <c r="T146" s="11"/>
      <c r="U146" s="11"/>
      <c r="V146" s="11"/>
      <c r="W146" s="11"/>
      <c r="X146" s="11"/>
      <c r="Y146" s="11"/>
      <c r="Z146" s="11"/>
      <c r="AA146" s="11"/>
    </row>
    <row r="147" spans="9:27" x14ac:dyDescent="0.25">
      <c r="I147" s="11"/>
      <c r="J147" s="11"/>
      <c r="K147" s="11"/>
      <c r="L147" s="11"/>
      <c r="M147" s="11"/>
      <c r="N147" s="11"/>
      <c r="O147" s="11"/>
      <c r="P147" s="11"/>
      <c r="Q147" s="11"/>
      <c r="R147" s="11"/>
      <c r="S147" s="11"/>
      <c r="T147" s="11"/>
      <c r="U147" s="11"/>
      <c r="V147" s="11"/>
      <c r="W147" s="11"/>
      <c r="X147" s="11"/>
      <c r="Y147" s="11"/>
      <c r="Z147" s="11"/>
      <c r="AA147" s="11"/>
    </row>
    <row r="148" spans="9:27" x14ac:dyDescent="0.25">
      <c r="I148" s="11"/>
      <c r="J148" s="11"/>
      <c r="K148" s="11"/>
      <c r="L148" s="11"/>
      <c r="M148" s="11"/>
      <c r="N148" s="11"/>
      <c r="O148" s="11"/>
      <c r="P148" s="11"/>
      <c r="Q148" s="11"/>
      <c r="R148" s="11"/>
      <c r="S148" s="11"/>
      <c r="T148" s="11"/>
      <c r="U148" s="11"/>
      <c r="V148" s="11"/>
      <c r="W148" s="11"/>
      <c r="X148" s="11"/>
      <c r="Y148" s="11"/>
      <c r="Z148" s="11"/>
      <c r="AA148" s="11"/>
    </row>
    <row r="149" spans="9:27" x14ac:dyDescent="0.25">
      <c r="I149" s="11"/>
      <c r="J149" s="11"/>
      <c r="K149" s="11"/>
      <c r="L149" s="11"/>
      <c r="M149" s="11"/>
      <c r="N149" s="11"/>
      <c r="O149" s="11"/>
      <c r="P149" s="11"/>
      <c r="Q149" s="11"/>
      <c r="R149" s="11"/>
      <c r="S149" s="11"/>
      <c r="T149" s="11"/>
      <c r="U149" s="11"/>
      <c r="V149" s="11"/>
      <c r="W149" s="11"/>
      <c r="X149" s="11"/>
      <c r="Y149" s="11"/>
      <c r="Z149" s="11"/>
      <c r="AA149" s="11"/>
    </row>
  </sheetData>
  <mergeCells count="58">
    <mergeCell ref="K88:M88"/>
    <mergeCell ref="U88:X88"/>
    <mergeCell ref="K89:M89"/>
    <mergeCell ref="U89:X89"/>
    <mergeCell ref="N78:T78"/>
    <mergeCell ref="N85:T85"/>
    <mergeCell ref="K85:M86"/>
    <mergeCell ref="U85:X86"/>
    <mergeCell ref="K87:M87"/>
    <mergeCell ref="U87:X87"/>
    <mergeCell ref="I74:AA74"/>
    <mergeCell ref="K80:M80"/>
    <mergeCell ref="K81:M81"/>
    <mergeCell ref="K82:M82"/>
    <mergeCell ref="K78:M79"/>
    <mergeCell ref="U80:X80"/>
    <mergeCell ref="U81:X81"/>
    <mergeCell ref="U82:X82"/>
    <mergeCell ref="U78:X79"/>
    <mergeCell ref="A1:F1"/>
    <mergeCell ref="I2:AA3"/>
    <mergeCell ref="A34:F34"/>
    <mergeCell ref="K38:L38"/>
    <mergeCell ref="A2:F3"/>
    <mergeCell ref="A4:C5"/>
    <mergeCell ref="D4:F5"/>
    <mergeCell ref="A30:A31"/>
    <mergeCell ref="B30:C31"/>
    <mergeCell ref="D30:E31"/>
    <mergeCell ref="F30:F31"/>
    <mergeCell ref="L12:N12"/>
    <mergeCell ref="L13:N13"/>
    <mergeCell ref="L14:N14"/>
    <mergeCell ref="L15:N15"/>
    <mergeCell ref="K11:U11"/>
    <mergeCell ref="A63:A64"/>
    <mergeCell ref="B63:C64"/>
    <mergeCell ref="D63:E64"/>
    <mergeCell ref="F63:F64"/>
    <mergeCell ref="A35:F36"/>
    <mergeCell ref="A37:C38"/>
    <mergeCell ref="D37:F38"/>
    <mergeCell ref="L20:N20"/>
    <mergeCell ref="L21:N21"/>
    <mergeCell ref="K19:U19"/>
    <mergeCell ref="L16:N16"/>
    <mergeCell ref="L17:N17"/>
    <mergeCell ref="L22:N22"/>
    <mergeCell ref="L23:N23"/>
    <mergeCell ref="L24:N24"/>
    <mergeCell ref="L25:N25"/>
    <mergeCell ref="L28:N28"/>
    <mergeCell ref="K27:U27"/>
    <mergeCell ref="L29:N29"/>
    <mergeCell ref="L30:N30"/>
    <mergeCell ref="L31:N31"/>
    <mergeCell ref="L32:N32"/>
    <mergeCell ref="L33:N33"/>
  </mergeCells>
  <pageMargins left="0.25" right="7.8740157480315001E-2" top="0.5" bottom="0.196850393700787" header="0.35433070866141703" footer="0.31496062992126"/>
  <pageSetup paperSize="10000" scale="70" orientation="portrait" horizontalDpi="4294967293" verticalDpi="18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61"/>
  <sheetViews>
    <sheetView zoomScale="110" zoomScaleNormal="110" workbookViewId="0">
      <selection activeCell="H20" sqref="H20"/>
    </sheetView>
  </sheetViews>
  <sheetFormatPr defaultRowHeight="15" x14ac:dyDescent="0.25"/>
  <cols>
    <col min="2" max="2" width="26" customWidth="1"/>
    <col min="3" max="3" width="11.5703125" customWidth="1"/>
    <col min="4" max="4" width="13" customWidth="1"/>
    <col min="5" max="5" width="12.7109375" customWidth="1"/>
    <col min="6" max="7" width="12.42578125" customWidth="1"/>
    <col min="8" max="8" width="12.85546875" customWidth="1"/>
    <col min="9" max="9" width="4" customWidth="1"/>
    <col min="10" max="10" width="4.28515625" customWidth="1"/>
    <col min="14" max="14" width="11.28515625" customWidth="1"/>
    <col min="15" max="15" width="4.5703125" customWidth="1"/>
  </cols>
  <sheetData>
    <row r="1" spans="1:19" x14ac:dyDescent="0.25">
      <c r="A1" s="188" t="s">
        <v>133</v>
      </c>
      <c r="B1" s="189" t="s">
        <v>63</v>
      </c>
      <c r="C1" s="944" t="str">
        <f>'DATA AWAL NASABAH'!B2</f>
        <v>DYAH RETNO SULISTYOWATI</v>
      </c>
      <c r="D1" s="944"/>
      <c r="E1" s="944"/>
      <c r="F1" s="944"/>
      <c r="G1" s="944"/>
    </row>
    <row r="2" spans="1:19" x14ac:dyDescent="0.25">
      <c r="A2" s="188" t="s">
        <v>129</v>
      </c>
      <c r="B2" s="189" t="s">
        <v>63</v>
      </c>
      <c r="C2" s="944" t="str">
        <f>'DATA AWAL NASABAH'!B21</f>
        <v>TOSARI REJO 001/006 JARAKSARI WONOSOBO</v>
      </c>
      <c r="D2" s="944"/>
      <c r="E2" s="944"/>
      <c r="F2" s="944"/>
      <c r="G2" s="944"/>
    </row>
    <row r="3" spans="1:19" x14ac:dyDescent="0.25">
      <c r="A3" s="944" t="s">
        <v>540</v>
      </c>
      <c r="B3" s="944"/>
      <c r="C3" s="944" t="str">
        <f>'DATA AWAL NASABAH'!B4</f>
        <v>PNS</v>
      </c>
      <c r="D3" s="944"/>
      <c r="E3" s="944"/>
      <c r="F3" s="944"/>
      <c r="G3" s="944"/>
    </row>
    <row r="4" spans="1:19" ht="15.75" thickBot="1" x14ac:dyDescent="0.3">
      <c r="A4" s="234"/>
      <c r="B4" s="234"/>
      <c r="C4" s="234"/>
      <c r="D4" s="234"/>
      <c r="E4" s="234"/>
      <c r="F4" s="234"/>
      <c r="G4" s="234"/>
      <c r="H4" s="234"/>
      <c r="I4" s="234"/>
      <c r="J4" s="234"/>
      <c r="K4" s="234"/>
      <c r="L4" s="234"/>
      <c r="M4" s="234"/>
      <c r="N4" s="234"/>
      <c r="O4" s="234"/>
      <c r="P4" s="234"/>
      <c r="Q4" s="234"/>
      <c r="R4" s="234"/>
      <c r="S4" s="234"/>
    </row>
    <row r="5" spans="1:19" ht="15.75" thickBot="1" x14ac:dyDescent="0.3">
      <c r="A5" s="349" t="s">
        <v>159</v>
      </c>
      <c r="B5" s="350"/>
      <c r="C5" s="945" t="s">
        <v>146</v>
      </c>
      <c r="D5" s="947" t="s">
        <v>547</v>
      </c>
      <c r="E5" s="947"/>
      <c r="F5" s="947"/>
      <c r="G5" s="947"/>
      <c r="H5" s="947"/>
      <c r="I5" s="345"/>
      <c r="J5" s="948" t="s">
        <v>139</v>
      </c>
      <c r="K5" s="949"/>
      <c r="L5" s="235"/>
      <c r="M5" s="235"/>
      <c r="N5" s="345"/>
      <c r="O5" s="236"/>
      <c r="P5" s="242"/>
      <c r="Q5" s="242"/>
      <c r="R5" s="242"/>
    </row>
    <row r="6" spans="1:19" x14ac:dyDescent="0.25">
      <c r="A6" s="529"/>
      <c r="B6" s="540"/>
      <c r="C6" s="946"/>
      <c r="D6" s="526">
        <v>5</v>
      </c>
      <c r="E6" s="526">
        <v>4</v>
      </c>
      <c r="F6" s="526">
        <v>3</v>
      </c>
      <c r="G6" s="526">
        <v>2</v>
      </c>
      <c r="H6" s="526">
        <v>1</v>
      </c>
      <c r="I6" s="541"/>
      <c r="J6" s="342" t="s">
        <v>493</v>
      </c>
      <c r="K6" s="343"/>
      <c r="L6" s="344"/>
      <c r="M6" s="237"/>
      <c r="N6" s="238"/>
      <c r="O6" s="237"/>
      <c r="P6" s="260"/>
      <c r="Q6" s="260"/>
      <c r="R6" s="260"/>
    </row>
    <row r="7" spans="1:19" x14ac:dyDescent="0.25">
      <c r="A7" s="536" t="s">
        <v>451</v>
      </c>
      <c r="B7" s="530" t="s">
        <v>452</v>
      </c>
      <c r="C7" s="525" t="s">
        <v>541</v>
      </c>
      <c r="D7" s="525" t="s">
        <v>453</v>
      </c>
      <c r="E7" s="525" t="s">
        <v>454</v>
      </c>
      <c r="F7" s="525" t="s">
        <v>455</v>
      </c>
      <c r="G7" s="525" t="s">
        <v>456</v>
      </c>
      <c r="H7" s="525" t="s">
        <v>457</v>
      </c>
      <c r="I7" s="241"/>
      <c r="J7" s="239" t="s">
        <v>458</v>
      </c>
      <c r="K7" s="237"/>
      <c r="L7" s="237"/>
      <c r="M7" s="237"/>
      <c r="N7" s="238"/>
      <c r="O7" s="237"/>
      <c r="P7" s="260"/>
      <c r="Q7" s="260"/>
      <c r="R7" s="260"/>
    </row>
    <row r="8" spans="1:19" ht="26.25" x14ac:dyDescent="0.25">
      <c r="A8" s="536">
        <v>1</v>
      </c>
      <c r="B8" s="531" t="s">
        <v>542</v>
      </c>
      <c r="C8" s="531"/>
      <c r="D8" s="532"/>
      <c r="E8" s="533">
        <v>4</v>
      </c>
      <c r="F8" s="533"/>
      <c r="G8" s="533"/>
      <c r="H8" s="533"/>
      <c r="I8" s="241"/>
      <c r="J8" s="240"/>
      <c r="K8" s="236"/>
      <c r="L8" s="236"/>
      <c r="M8" s="236"/>
      <c r="N8" s="241"/>
      <c r="O8" s="236"/>
      <c r="P8" s="242"/>
      <c r="Q8" s="242"/>
      <c r="R8" s="242"/>
    </row>
    <row r="9" spans="1:19" ht="39" customHeight="1" x14ac:dyDescent="0.25">
      <c r="A9" s="536">
        <v>2</v>
      </c>
      <c r="B9" s="530" t="s">
        <v>543</v>
      </c>
      <c r="C9" s="530"/>
      <c r="D9" s="534"/>
      <c r="E9" s="535">
        <v>4</v>
      </c>
      <c r="F9" s="535"/>
      <c r="G9" s="535"/>
      <c r="H9" s="535"/>
      <c r="I9" s="241"/>
      <c r="J9" s="952">
        <f>ANALISIS!D42</f>
        <v>36801779.378593482</v>
      </c>
      <c r="K9" s="953"/>
      <c r="L9" s="504" t="s">
        <v>459</v>
      </c>
      <c r="M9" s="243">
        <v>100</v>
      </c>
      <c r="N9" s="244"/>
      <c r="O9" s="236"/>
      <c r="P9" s="242"/>
      <c r="Q9" s="242"/>
      <c r="R9" s="242"/>
    </row>
    <row r="10" spans="1:19" ht="34.5" customHeight="1" x14ac:dyDescent="0.25">
      <c r="A10" s="536">
        <v>3</v>
      </c>
      <c r="B10" s="531" t="s">
        <v>544</v>
      </c>
      <c r="C10" s="531"/>
      <c r="D10" s="532"/>
      <c r="E10" s="533">
        <v>4</v>
      </c>
      <c r="F10" s="533"/>
      <c r="G10" s="533"/>
      <c r="H10" s="533"/>
      <c r="I10" s="241"/>
      <c r="J10" s="954">
        <f>ADENDUM!I20</f>
        <v>30000000</v>
      </c>
      <c r="K10" s="955"/>
      <c r="L10" s="245"/>
      <c r="M10" s="245"/>
      <c r="N10" s="246"/>
      <c r="O10" s="242"/>
      <c r="P10" s="242"/>
      <c r="Q10" s="242"/>
      <c r="R10" s="242"/>
    </row>
    <row r="11" spans="1:19" ht="39" customHeight="1" x14ac:dyDescent="0.25">
      <c r="A11" s="536">
        <v>4</v>
      </c>
      <c r="B11" s="530" t="s">
        <v>180</v>
      </c>
      <c r="C11" s="530"/>
      <c r="D11" s="534"/>
      <c r="E11" s="535">
        <v>4</v>
      </c>
      <c r="F11" s="535"/>
      <c r="G11" s="535"/>
      <c r="H11" s="535"/>
      <c r="I11" s="241"/>
      <c r="J11" s="956"/>
      <c r="K11" s="957"/>
      <c r="L11" s="957"/>
      <c r="M11" s="957"/>
      <c r="N11" s="958"/>
      <c r="O11" s="242"/>
      <c r="P11" s="242"/>
      <c r="Q11" s="242"/>
      <c r="R11" s="242"/>
    </row>
    <row r="12" spans="1:19" ht="34.5" customHeight="1" x14ac:dyDescent="0.25">
      <c r="A12" s="536">
        <v>5</v>
      </c>
      <c r="B12" s="531" t="s">
        <v>460</v>
      </c>
      <c r="C12" s="531"/>
      <c r="D12" s="532"/>
      <c r="E12" s="533">
        <v>4</v>
      </c>
      <c r="F12" s="533"/>
      <c r="G12" s="533"/>
      <c r="H12" s="533"/>
      <c r="I12" s="241"/>
      <c r="J12" s="959">
        <f>(J9/J10)*M9</f>
        <v>122.67259792864493</v>
      </c>
      <c r="K12" s="960"/>
      <c r="L12" s="960"/>
      <c r="M12" s="960"/>
      <c r="N12" s="961"/>
      <c r="O12" s="242"/>
      <c r="P12" s="242"/>
      <c r="Q12" s="242"/>
      <c r="R12" s="242"/>
    </row>
    <row r="13" spans="1:19" ht="40.5" customHeight="1" x14ac:dyDescent="0.25">
      <c r="A13" s="536">
        <v>6</v>
      </c>
      <c r="B13" s="531" t="s">
        <v>461</v>
      </c>
      <c r="C13" s="530"/>
      <c r="D13" s="534"/>
      <c r="E13" s="534">
        <v>4</v>
      </c>
      <c r="F13" s="535"/>
      <c r="G13" s="535"/>
      <c r="H13" s="535"/>
      <c r="I13" s="241"/>
      <c r="J13" s="240"/>
      <c r="K13" s="236"/>
      <c r="L13" s="236"/>
      <c r="M13" s="236"/>
      <c r="N13" s="241"/>
      <c r="O13" s="236"/>
      <c r="P13" s="242"/>
      <c r="Q13" s="242"/>
      <c r="R13" s="242"/>
    </row>
    <row r="14" spans="1:19" ht="40.5" customHeight="1" x14ac:dyDescent="0.25">
      <c r="A14" s="536">
        <v>7</v>
      </c>
      <c r="B14" s="530" t="s">
        <v>462</v>
      </c>
      <c r="C14" s="530"/>
      <c r="D14" s="534"/>
      <c r="E14" s="534">
        <v>4</v>
      </c>
      <c r="F14" s="535"/>
      <c r="G14" s="535"/>
      <c r="H14" s="535"/>
      <c r="I14" s="241"/>
      <c r="J14" s="240"/>
      <c r="K14" s="236"/>
      <c r="L14" s="236"/>
      <c r="M14" s="236"/>
      <c r="N14" s="241"/>
      <c r="O14" s="236"/>
      <c r="P14" s="242"/>
      <c r="Q14" s="242"/>
      <c r="R14" s="242"/>
    </row>
    <row r="15" spans="1:19" ht="39.75" customHeight="1" thickBot="1" x14ac:dyDescent="0.3">
      <c r="A15" s="537"/>
      <c r="B15" s="538" t="s">
        <v>545</v>
      </c>
      <c r="C15" s="539">
        <f>SUM(D15:H15)/7</f>
        <v>4</v>
      </c>
      <c r="D15" s="523">
        <f>SUM(D8:D14)</f>
        <v>0</v>
      </c>
      <c r="E15" s="523">
        <f t="shared" ref="E15:H15" si="0">SUM(E8:E14)</f>
        <v>28</v>
      </c>
      <c r="F15" s="523">
        <f t="shared" si="0"/>
        <v>0</v>
      </c>
      <c r="G15" s="523">
        <f t="shared" si="0"/>
        <v>0</v>
      </c>
      <c r="H15" s="523">
        <f t="shared" si="0"/>
        <v>0</v>
      </c>
      <c r="I15" s="542"/>
      <c r="J15" s="247"/>
      <c r="K15" s="248"/>
      <c r="L15" s="248"/>
      <c r="M15" s="248"/>
      <c r="N15" s="346"/>
      <c r="O15" s="234"/>
      <c r="P15" s="234"/>
      <c r="Q15" s="234"/>
      <c r="R15" s="234"/>
    </row>
    <row r="16" spans="1:19" ht="39.75" customHeight="1" thickBot="1" x14ac:dyDescent="0.3">
      <c r="A16" s="240"/>
      <c r="B16" s="236"/>
      <c r="C16" s="236"/>
      <c r="D16" s="236"/>
      <c r="E16" s="236"/>
      <c r="F16" s="236"/>
      <c r="G16" s="236"/>
      <c r="H16" s="236"/>
      <c r="I16" s="236"/>
      <c r="J16" s="236"/>
      <c r="K16" s="236"/>
      <c r="L16" s="236"/>
      <c r="M16" s="236"/>
      <c r="N16" s="236"/>
      <c r="O16" s="236"/>
      <c r="P16" s="234"/>
      <c r="Q16" s="234"/>
      <c r="R16" s="234"/>
      <c r="S16" s="234"/>
    </row>
    <row r="17" spans="1:19" x14ac:dyDescent="0.25">
      <c r="A17" s="962" t="s">
        <v>140</v>
      </c>
      <c r="B17" s="963"/>
      <c r="C17" s="963"/>
      <c r="D17" s="963"/>
      <c r="E17" s="963"/>
      <c r="F17" s="249"/>
      <c r="G17" s="249"/>
      <c r="H17" s="249"/>
      <c r="I17" s="249"/>
      <c r="J17" s="249"/>
      <c r="K17" s="249"/>
      <c r="L17" s="249"/>
      <c r="M17" s="395"/>
      <c r="N17" s="250"/>
      <c r="O17" s="234"/>
      <c r="P17" s="234"/>
      <c r="Q17" s="234"/>
      <c r="R17" s="234"/>
      <c r="S17" s="234"/>
    </row>
    <row r="18" spans="1:19" x14ac:dyDescent="0.25">
      <c r="A18" s="950" t="s">
        <v>463</v>
      </c>
      <c r="B18" s="951"/>
      <c r="C18" s="511"/>
      <c r="D18" s="511"/>
      <c r="E18" s="242" t="s">
        <v>459</v>
      </c>
      <c r="F18" s="251">
        <v>100</v>
      </c>
      <c r="G18" s="348" t="s">
        <v>389</v>
      </c>
      <c r="H18" s="964">
        <f>NERACA!B30</f>
        <v>14597600000</v>
      </c>
      <c r="I18" s="964"/>
      <c r="J18" s="242" t="s">
        <v>459</v>
      </c>
      <c r="K18" s="242">
        <v>100</v>
      </c>
      <c r="L18" s="236"/>
      <c r="M18" s="261"/>
      <c r="N18" s="253"/>
      <c r="O18" s="234"/>
      <c r="P18" s="236"/>
      <c r="Q18" s="236"/>
      <c r="R18" s="236"/>
      <c r="S18" s="236"/>
    </row>
    <row r="19" spans="1:19" x14ac:dyDescent="0.25">
      <c r="A19" s="965" t="s">
        <v>464</v>
      </c>
      <c r="B19" s="966"/>
      <c r="C19" s="512"/>
      <c r="D19" s="512"/>
      <c r="E19" s="347"/>
      <c r="F19" s="242"/>
      <c r="G19" s="242"/>
      <c r="H19" s="967">
        <f>NERACA!F18</f>
        <v>4742478555</v>
      </c>
      <c r="I19" s="967"/>
      <c r="J19" s="252"/>
      <c r="K19" s="242"/>
      <c r="L19" s="236"/>
      <c r="M19" s="261"/>
      <c r="N19" s="253"/>
      <c r="O19" s="234"/>
      <c r="P19" s="234"/>
      <c r="Q19" s="234"/>
      <c r="R19" s="234"/>
      <c r="S19" s="234"/>
    </row>
    <row r="20" spans="1:19" x14ac:dyDescent="0.25">
      <c r="A20" s="254"/>
      <c r="B20" s="242"/>
      <c r="C20" s="242"/>
      <c r="D20" s="242"/>
      <c r="E20" s="242"/>
      <c r="F20" s="242"/>
      <c r="G20" s="255" t="s">
        <v>389</v>
      </c>
      <c r="H20" s="505">
        <f>H18/H19*K18</f>
        <v>307.80529275371708</v>
      </c>
      <c r="I20" s="505"/>
      <c r="J20" s="242"/>
      <c r="K20" s="242"/>
      <c r="L20" s="236"/>
      <c r="M20" s="261"/>
      <c r="N20" s="253"/>
      <c r="O20" s="234"/>
      <c r="P20" s="234"/>
      <c r="Q20" s="234"/>
      <c r="R20" s="234"/>
      <c r="S20" s="234"/>
    </row>
    <row r="21" spans="1:19" ht="15.75" thickBot="1" x14ac:dyDescent="0.3">
      <c r="A21" s="256"/>
      <c r="B21" s="257"/>
      <c r="C21" s="257"/>
      <c r="D21" s="257"/>
      <c r="E21" s="257"/>
      <c r="F21" s="257"/>
      <c r="G21" s="257"/>
      <c r="H21" s="257"/>
      <c r="I21" s="257"/>
      <c r="J21" s="257"/>
      <c r="K21" s="257"/>
      <c r="L21" s="257"/>
      <c r="M21" s="524"/>
      <c r="N21" s="258"/>
      <c r="O21" s="234"/>
      <c r="P21" s="234"/>
      <c r="Q21" s="234"/>
      <c r="R21" s="234"/>
      <c r="S21" s="234"/>
    </row>
    <row r="22" spans="1:19" x14ac:dyDescent="0.25">
      <c r="A22" s="242"/>
      <c r="B22" s="242"/>
      <c r="C22" s="242"/>
      <c r="D22" s="242"/>
      <c r="E22" s="242"/>
      <c r="F22" s="242"/>
      <c r="G22" s="242"/>
      <c r="H22" s="242"/>
      <c r="I22" s="242"/>
      <c r="J22" s="242"/>
      <c r="K22" s="242"/>
      <c r="L22" s="242"/>
      <c r="M22" s="242"/>
      <c r="N22" s="234"/>
      <c r="O22" s="234"/>
      <c r="P22" s="234"/>
      <c r="Q22" s="234"/>
      <c r="R22" s="234"/>
      <c r="S22" s="234"/>
    </row>
    <row r="23" spans="1:19" x14ac:dyDescent="0.25">
      <c r="A23" s="242"/>
      <c r="B23" s="242"/>
      <c r="C23" s="242"/>
      <c r="D23" s="242"/>
      <c r="E23" s="242"/>
      <c r="F23" s="242"/>
      <c r="G23" s="242"/>
      <c r="H23" s="242"/>
      <c r="I23" s="242"/>
      <c r="J23" s="242"/>
      <c r="K23" s="242"/>
      <c r="L23" s="242"/>
      <c r="M23" s="242"/>
      <c r="N23" s="234"/>
      <c r="O23" s="234"/>
      <c r="P23" s="234"/>
      <c r="Q23" s="234"/>
      <c r="R23" s="234"/>
      <c r="S23" s="234"/>
    </row>
    <row r="24" spans="1:19" x14ac:dyDescent="0.25">
      <c r="A24" s="188" t="s">
        <v>133</v>
      </c>
      <c r="B24" s="189" t="s">
        <v>63</v>
      </c>
      <c r="C24" s="944" t="str">
        <f>C1</f>
        <v>DYAH RETNO SULISTYOWATI</v>
      </c>
      <c r="D24" s="944"/>
      <c r="E24" s="944"/>
      <c r="F24" s="944"/>
      <c r="G24" s="944"/>
      <c r="I24" s="242"/>
      <c r="J24" s="242"/>
      <c r="K24" s="242"/>
      <c r="L24" s="242"/>
      <c r="M24" s="242"/>
      <c r="N24" s="234"/>
      <c r="O24" s="234"/>
      <c r="P24" s="234"/>
      <c r="Q24" s="234"/>
      <c r="R24" s="234"/>
      <c r="S24" s="234"/>
    </row>
    <row r="25" spans="1:19" x14ac:dyDescent="0.25">
      <c r="A25" s="188" t="s">
        <v>129</v>
      </c>
      <c r="B25" s="189" t="s">
        <v>63</v>
      </c>
      <c r="C25" s="944" t="str">
        <f t="shared" ref="C25:C26" si="1">C2</f>
        <v>TOSARI REJO 001/006 JARAKSARI WONOSOBO</v>
      </c>
      <c r="D25" s="944"/>
      <c r="E25" s="944"/>
      <c r="F25" s="944"/>
      <c r="G25" s="944"/>
      <c r="I25" s="242"/>
      <c r="J25" s="242"/>
      <c r="K25" s="242"/>
      <c r="L25" s="242"/>
      <c r="M25" s="242"/>
      <c r="N25" s="234"/>
      <c r="O25" s="234"/>
      <c r="P25" s="234"/>
      <c r="Q25" s="234"/>
      <c r="R25" s="234"/>
      <c r="S25" s="234"/>
    </row>
    <row r="26" spans="1:19" ht="15.75" thickBot="1" x14ac:dyDescent="0.3">
      <c r="A26" s="944" t="s">
        <v>540</v>
      </c>
      <c r="B26" s="944"/>
      <c r="C26" s="968" t="str">
        <f t="shared" si="1"/>
        <v>PNS</v>
      </c>
      <c r="D26" s="968"/>
      <c r="E26" s="968"/>
      <c r="F26" s="968"/>
      <c r="G26" s="968"/>
      <c r="I26" s="234"/>
      <c r="J26" s="234"/>
      <c r="K26" s="234"/>
      <c r="L26" s="234"/>
      <c r="M26" s="234"/>
      <c r="N26" s="234"/>
      <c r="O26" s="234"/>
      <c r="P26" s="234"/>
      <c r="Q26" s="234"/>
      <c r="R26" s="234"/>
    </row>
    <row r="27" spans="1:19" x14ac:dyDescent="0.25">
      <c r="A27" s="353" t="s">
        <v>141</v>
      </c>
      <c r="B27" s="249"/>
      <c r="C27" s="945" t="s">
        <v>146</v>
      </c>
      <c r="D27" s="947" t="s">
        <v>547</v>
      </c>
      <c r="E27" s="947"/>
      <c r="F27" s="947"/>
      <c r="G27" s="947"/>
      <c r="H27" s="947"/>
      <c r="I27" s="235"/>
      <c r="J27" s="235"/>
      <c r="K27" s="235"/>
      <c r="L27" s="235"/>
      <c r="M27" s="395"/>
      <c r="N27" s="345"/>
      <c r="O27" s="234"/>
      <c r="P27" s="234"/>
      <c r="Q27" s="234"/>
      <c r="R27" s="234"/>
    </row>
    <row r="28" spans="1:19" x14ac:dyDescent="0.25">
      <c r="A28" s="519"/>
      <c r="B28" s="242"/>
      <c r="C28" s="946"/>
      <c r="D28" s="526">
        <v>5</v>
      </c>
      <c r="E28" s="526">
        <v>4</v>
      </c>
      <c r="F28" s="526">
        <v>3</v>
      </c>
      <c r="G28" s="526">
        <v>2</v>
      </c>
      <c r="H28" s="526">
        <v>1</v>
      </c>
      <c r="I28" s="969"/>
      <c r="J28" s="236"/>
      <c r="K28" s="236"/>
      <c r="L28" s="236"/>
      <c r="M28" s="261"/>
      <c r="N28" s="241"/>
      <c r="O28" s="234"/>
      <c r="P28" s="234"/>
      <c r="Q28" s="234"/>
      <c r="R28" s="234"/>
    </row>
    <row r="29" spans="1:19" x14ac:dyDescent="0.25">
      <c r="A29" s="520" t="s">
        <v>451</v>
      </c>
      <c r="B29" s="352" t="s">
        <v>473</v>
      </c>
      <c r="C29" s="525" t="s">
        <v>541</v>
      </c>
      <c r="D29" s="525" t="s">
        <v>453</v>
      </c>
      <c r="E29" s="525" t="s">
        <v>454</v>
      </c>
      <c r="F29" s="525" t="s">
        <v>455</v>
      </c>
      <c r="G29" s="525" t="s">
        <v>456</v>
      </c>
      <c r="H29" s="525" t="s">
        <v>457</v>
      </c>
      <c r="I29" s="970"/>
      <c r="J29" s="261"/>
      <c r="K29" s="261"/>
      <c r="L29" s="261"/>
      <c r="M29" s="261"/>
      <c r="N29" s="521"/>
      <c r="O29" s="234"/>
      <c r="P29" s="234"/>
      <c r="Q29" s="234"/>
      <c r="R29" s="234"/>
    </row>
    <row r="30" spans="1:19" ht="46.5" x14ac:dyDescent="0.7">
      <c r="A30" s="520">
        <v>1</v>
      </c>
      <c r="B30" s="351" t="s">
        <v>465</v>
      </c>
      <c r="C30" s="516"/>
      <c r="D30" s="515"/>
      <c r="E30" s="572">
        <v>4</v>
      </c>
      <c r="F30" s="571"/>
      <c r="G30" s="571"/>
      <c r="H30" s="571"/>
      <c r="I30" s="527"/>
      <c r="J30" s="261"/>
      <c r="K30" s="261"/>
      <c r="L30" s="261"/>
      <c r="M30" s="261"/>
      <c r="N30" s="521"/>
      <c r="O30" s="234"/>
      <c r="P30" s="234"/>
      <c r="Q30" s="234"/>
      <c r="R30" s="234"/>
    </row>
    <row r="31" spans="1:19" ht="68.25" customHeight="1" x14ac:dyDescent="0.7">
      <c r="A31" s="520">
        <v>2</v>
      </c>
      <c r="B31" s="351" t="s">
        <v>466</v>
      </c>
      <c r="C31" s="516"/>
      <c r="D31" s="515"/>
      <c r="E31" s="572">
        <v>4</v>
      </c>
      <c r="F31" s="571"/>
      <c r="G31" s="571"/>
      <c r="H31" s="571"/>
      <c r="I31" s="527"/>
      <c r="J31" s="261"/>
      <c r="K31" s="261"/>
      <c r="L31" s="261"/>
      <c r="M31" s="261"/>
      <c r="N31" s="521"/>
      <c r="O31" s="234"/>
      <c r="P31" s="234"/>
      <c r="Q31" s="234"/>
      <c r="R31" s="234"/>
    </row>
    <row r="32" spans="1:19" ht="48.75" customHeight="1" x14ac:dyDescent="0.7">
      <c r="A32" s="520">
        <v>3</v>
      </c>
      <c r="B32" s="351" t="s">
        <v>546</v>
      </c>
      <c r="C32" s="516"/>
      <c r="D32" s="515"/>
      <c r="E32" s="572">
        <v>4</v>
      </c>
      <c r="F32" s="571"/>
      <c r="G32" s="571"/>
      <c r="H32" s="571"/>
      <c r="I32" s="527"/>
      <c r="J32" s="261"/>
      <c r="K32" s="261"/>
      <c r="L32" s="261"/>
      <c r="M32" s="261"/>
      <c r="N32" s="521"/>
      <c r="O32" s="234"/>
      <c r="P32" s="234"/>
      <c r="Q32" s="234"/>
      <c r="R32" s="234"/>
    </row>
    <row r="33" spans="1:19" ht="42.75" customHeight="1" x14ac:dyDescent="0.7">
      <c r="A33" s="520">
        <v>4</v>
      </c>
      <c r="B33" s="351" t="s">
        <v>467</v>
      </c>
      <c r="C33" s="516"/>
      <c r="D33" s="515"/>
      <c r="E33" s="572">
        <v>4</v>
      </c>
      <c r="F33" s="571"/>
      <c r="G33" s="571"/>
      <c r="H33" s="571"/>
      <c r="I33" s="527"/>
      <c r="J33" s="261"/>
      <c r="K33" s="261"/>
      <c r="L33" s="261"/>
      <c r="M33" s="261"/>
      <c r="N33" s="521"/>
      <c r="O33" s="234"/>
      <c r="P33" s="234"/>
      <c r="Q33" s="234"/>
      <c r="R33" s="234"/>
    </row>
    <row r="34" spans="1:19" ht="42.75" customHeight="1" x14ac:dyDescent="0.7">
      <c r="A34" s="520">
        <v>5</v>
      </c>
      <c r="B34" s="351" t="s">
        <v>468</v>
      </c>
      <c r="C34" s="517"/>
      <c r="D34" s="515"/>
      <c r="E34" s="572">
        <v>4</v>
      </c>
      <c r="F34" s="571"/>
      <c r="G34" s="571"/>
      <c r="H34" s="571"/>
      <c r="I34" s="527"/>
      <c r="J34" s="261"/>
      <c r="K34" s="261"/>
      <c r="L34" s="261"/>
      <c r="M34" s="261"/>
      <c r="N34" s="521"/>
      <c r="O34" s="234"/>
      <c r="P34" s="234"/>
      <c r="Q34" s="234"/>
      <c r="R34" s="234"/>
    </row>
    <row r="35" spans="1:19" ht="47.25" thickBot="1" x14ac:dyDescent="0.75">
      <c r="A35" s="510"/>
      <c r="B35" s="513" t="s">
        <v>545</v>
      </c>
      <c r="C35" s="522">
        <f>SUM(D35:H35)/5</f>
        <v>4</v>
      </c>
      <c r="D35" s="523">
        <f>SUM(D30:D34)</f>
        <v>0</v>
      </c>
      <c r="E35" s="523">
        <f t="shared" ref="E35:H35" si="2">SUM(E30:E34)</f>
        <v>20</v>
      </c>
      <c r="F35" s="523">
        <f t="shared" si="2"/>
        <v>0</v>
      </c>
      <c r="G35" s="523">
        <f t="shared" si="2"/>
        <v>0</v>
      </c>
      <c r="H35" s="523">
        <f t="shared" si="2"/>
        <v>0</v>
      </c>
      <c r="I35" s="528"/>
      <c r="J35" s="248"/>
      <c r="K35" s="248"/>
      <c r="L35" s="248"/>
      <c r="M35" s="524"/>
      <c r="N35" s="346"/>
      <c r="O35" s="234"/>
      <c r="P35" s="234"/>
      <c r="Q35" s="234"/>
      <c r="R35" s="234"/>
    </row>
    <row r="36" spans="1:19" x14ac:dyDescent="0.25">
      <c r="A36" s="518" t="s">
        <v>165</v>
      </c>
      <c r="B36" s="514"/>
      <c r="C36" s="514"/>
      <c r="D36" s="514"/>
      <c r="E36" s="242"/>
      <c r="F36" s="242"/>
      <c r="G36" s="242"/>
      <c r="H36" s="242"/>
      <c r="I36" s="242"/>
      <c r="J36" s="242"/>
      <c r="K36" s="242"/>
      <c r="L36" s="242"/>
      <c r="M36" s="242"/>
      <c r="N36" s="253"/>
      <c r="O36" s="234"/>
      <c r="P36" s="234"/>
      <c r="Q36" s="234"/>
      <c r="R36" s="234"/>
    </row>
    <row r="37" spans="1:19" x14ac:dyDescent="0.25">
      <c r="A37" s="956" t="s">
        <v>469</v>
      </c>
      <c r="B37" s="957"/>
      <c r="C37" s="504"/>
      <c r="D37" s="504"/>
      <c r="E37" s="242"/>
      <c r="F37" s="242"/>
      <c r="G37" s="242"/>
      <c r="H37" s="236"/>
      <c r="I37" s="504"/>
      <c r="J37" s="242"/>
      <c r="K37" s="242"/>
      <c r="L37" s="242"/>
      <c r="M37" s="236"/>
      <c r="N37" s="506"/>
      <c r="O37" s="234"/>
      <c r="P37" s="234"/>
      <c r="Q37" s="234"/>
      <c r="R37" s="234"/>
      <c r="S37" s="234"/>
    </row>
    <row r="38" spans="1:19" x14ac:dyDescent="0.25">
      <c r="A38" s="971"/>
      <c r="B38" s="972"/>
      <c r="C38" s="504"/>
      <c r="D38" s="504"/>
      <c r="E38" s="242" t="s">
        <v>459</v>
      </c>
      <c r="F38" s="242">
        <v>100</v>
      </c>
      <c r="G38" s="255" t="s">
        <v>389</v>
      </c>
      <c r="H38" s="973">
        <f>'KOMITE TEMPO'!D12</f>
        <v>2066550000</v>
      </c>
      <c r="I38" s="973"/>
      <c r="J38" s="242" t="s">
        <v>459</v>
      </c>
      <c r="K38" s="242">
        <v>100</v>
      </c>
      <c r="L38" s="255" t="s">
        <v>389</v>
      </c>
      <c r="M38" s="505">
        <f>H38/H39*K38</f>
        <v>103.3275</v>
      </c>
      <c r="N38" s="506"/>
      <c r="O38" s="234"/>
      <c r="P38" s="234"/>
      <c r="Q38" s="234"/>
      <c r="R38" s="234"/>
      <c r="S38" s="234"/>
    </row>
    <row r="39" spans="1:19" x14ac:dyDescent="0.25">
      <c r="A39" s="974" t="s">
        <v>470</v>
      </c>
      <c r="B39" s="975"/>
      <c r="C39" s="503"/>
      <c r="D39" s="503"/>
      <c r="E39" s="242"/>
      <c r="F39" s="242"/>
      <c r="G39" s="242"/>
      <c r="H39" s="978">
        <f>'DATA AWAL NASABAH'!B18</f>
        <v>2000000000</v>
      </c>
      <c r="I39" s="978"/>
      <c r="J39" s="242"/>
      <c r="K39" s="242"/>
      <c r="L39" s="242"/>
      <c r="M39" s="242"/>
      <c r="N39" s="253"/>
      <c r="O39" s="234"/>
      <c r="P39" s="234"/>
      <c r="Q39" s="234"/>
      <c r="R39" s="234"/>
      <c r="S39" s="234"/>
    </row>
    <row r="40" spans="1:19" x14ac:dyDescent="0.25">
      <c r="A40" s="976"/>
      <c r="B40" s="977"/>
      <c r="C40" s="503"/>
      <c r="D40" s="503"/>
      <c r="E40" s="242"/>
      <c r="F40" s="242"/>
      <c r="G40" s="242"/>
      <c r="H40" s="504"/>
      <c r="I40" s="504"/>
      <c r="J40" s="242"/>
      <c r="K40" s="242"/>
      <c r="L40" s="242"/>
      <c r="M40" s="242"/>
      <c r="N40" s="253"/>
      <c r="O40" s="234"/>
      <c r="P40" s="234"/>
      <c r="Q40" s="234"/>
      <c r="R40" s="234"/>
      <c r="S40" s="234"/>
    </row>
    <row r="41" spans="1:19" x14ac:dyDescent="0.25">
      <c r="A41" s="254"/>
      <c r="B41" s="242"/>
      <c r="C41" s="242"/>
      <c r="D41" s="242"/>
      <c r="E41" s="242"/>
      <c r="F41" s="242"/>
      <c r="G41" s="242"/>
      <c r="H41" s="242"/>
      <c r="I41" s="242"/>
      <c r="J41" s="242"/>
      <c r="K41" s="242"/>
      <c r="L41" s="242"/>
      <c r="M41" s="242"/>
      <c r="N41" s="253"/>
      <c r="O41" s="234"/>
      <c r="P41" s="234"/>
      <c r="Q41" s="234"/>
      <c r="R41" s="234"/>
      <c r="S41" s="234"/>
    </row>
    <row r="42" spans="1:19" ht="15.75" thickBot="1" x14ac:dyDescent="0.3">
      <c r="A42" s="256"/>
      <c r="B42" s="257"/>
      <c r="C42" s="257"/>
      <c r="D42" s="257"/>
      <c r="E42" s="257"/>
      <c r="F42" s="257"/>
      <c r="G42" s="257"/>
      <c r="H42" s="257"/>
      <c r="I42" s="257"/>
      <c r="J42" s="257"/>
      <c r="K42" s="257"/>
      <c r="L42" s="257"/>
      <c r="M42" s="257"/>
      <c r="N42" s="258"/>
      <c r="O42" s="234"/>
      <c r="P42" s="234"/>
      <c r="Q42" s="234"/>
      <c r="R42" s="234"/>
      <c r="S42" s="234"/>
    </row>
    <row r="43" spans="1:19" x14ac:dyDescent="0.25">
      <c r="O43" s="234"/>
      <c r="P43" s="234"/>
      <c r="Q43" s="234"/>
      <c r="R43" s="234"/>
      <c r="S43" s="234"/>
    </row>
    <row r="44" spans="1:19" x14ac:dyDescent="0.25">
      <c r="P44" s="234"/>
      <c r="Q44" s="234"/>
      <c r="R44" s="234"/>
      <c r="S44" s="234"/>
    </row>
    <row r="45" spans="1:19" x14ac:dyDescent="0.25">
      <c r="P45" s="234"/>
      <c r="Q45" s="234"/>
      <c r="R45" s="234"/>
      <c r="S45" s="234"/>
    </row>
    <row r="48" spans="1:19" x14ac:dyDescent="0.25">
      <c r="B48" s="569" t="s">
        <v>139</v>
      </c>
    </row>
    <row r="49" spans="2:2" x14ac:dyDescent="0.25">
      <c r="B49" s="569" t="str">
        <f>IF(J12&gt;=150,"5",IF(J12&gt;=125,"4",IF(J12&gt;=100,"3",IF(J12&gt;=75,"1"))))</f>
        <v>3</v>
      </c>
    </row>
    <row r="50" spans="2:2" x14ac:dyDescent="0.25">
      <c r="B50" s="673"/>
    </row>
    <row r="51" spans="2:2" x14ac:dyDescent="0.25">
      <c r="B51" s="569" t="s">
        <v>140</v>
      </c>
    </row>
    <row r="52" spans="2:2" x14ac:dyDescent="0.25">
      <c r="B52" s="569" t="str">
        <f>IF(H20&gt;=500,"5",IF(H20&gt;=400,"4",IF(H20&gt;=300,"3",IF(H20&gt;=200,"2",IF(H20&gt;=100,"1")))))</f>
        <v>3</v>
      </c>
    </row>
    <row r="53" spans="2:2" x14ac:dyDescent="0.25">
      <c r="B53" s="673"/>
    </row>
    <row r="54" spans="2:2" x14ac:dyDescent="0.25">
      <c r="B54" s="569" t="s">
        <v>142</v>
      </c>
    </row>
    <row r="55" spans="2:2" x14ac:dyDescent="0.25">
      <c r="B55" s="569" t="str">
        <f>IF(M38&gt;=150,"5",IF(M38&gt;=125,"4",IF(M38&gt;=100,"3",IF(M38&gt;=75,"1"))))</f>
        <v>3</v>
      </c>
    </row>
    <row r="57" spans="2:2" x14ac:dyDescent="0.25">
      <c r="B57" s="569" t="s">
        <v>159</v>
      </c>
    </row>
    <row r="58" spans="2:2" x14ac:dyDescent="0.25">
      <c r="B58" s="569">
        <f>ROUND(C15,0)</f>
        <v>4</v>
      </c>
    </row>
    <row r="59" spans="2:2" x14ac:dyDescent="0.25">
      <c r="B59" s="673"/>
    </row>
    <row r="60" spans="2:2" x14ac:dyDescent="0.25">
      <c r="B60" s="569" t="s">
        <v>141</v>
      </c>
    </row>
    <row r="61" spans="2:2" x14ac:dyDescent="0.25">
      <c r="B61" s="569">
        <f>ROUND(C35,0)</f>
        <v>4</v>
      </c>
    </row>
  </sheetData>
  <mergeCells count="27">
    <mergeCell ref="I28:I29"/>
    <mergeCell ref="A37:B38"/>
    <mergeCell ref="H38:I38"/>
    <mergeCell ref="A39:B40"/>
    <mergeCell ref="H39:I39"/>
    <mergeCell ref="C27:C28"/>
    <mergeCell ref="D27:H27"/>
    <mergeCell ref="A19:B19"/>
    <mergeCell ref="H19:I19"/>
    <mergeCell ref="A26:B26"/>
    <mergeCell ref="C24:G24"/>
    <mergeCell ref="C25:G25"/>
    <mergeCell ref="C26:G26"/>
    <mergeCell ref="A3:B3"/>
    <mergeCell ref="A18:B18"/>
    <mergeCell ref="C3:G3"/>
    <mergeCell ref="J9:K9"/>
    <mergeCell ref="J10:K10"/>
    <mergeCell ref="J11:N11"/>
    <mergeCell ref="J12:N12"/>
    <mergeCell ref="A17:E17"/>
    <mergeCell ref="H18:I18"/>
    <mergeCell ref="C2:G2"/>
    <mergeCell ref="C1:G1"/>
    <mergeCell ref="C5:C6"/>
    <mergeCell ref="D5:H5"/>
    <mergeCell ref="J5:K5"/>
  </mergeCells>
  <pageMargins left="0.75" right="0.27559055118110198" top="1.25" bottom="1" header="0.31496062992126" footer="0.31496062992126"/>
  <pageSetup paperSize="10000" scale="85" orientation="landscape"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2:R47"/>
  <sheetViews>
    <sheetView workbookViewId="0">
      <selection sqref="A1:N35"/>
    </sheetView>
  </sheetViews>
  <sheetFormatPr defaultColWidth="8.85546875" defaultRowHeight="13.5" x14ac:dyDescent="0.25"/>
  <cols>
    <col min="1" max="1" width="15.42578125" style="2" customWidth="1"/>
    <col min="2" max="2" width="7.28515625" style="2" customWidth="1"/>
    <col min="3" max="3" width="5.5703125" style="2" customWidth="1"/>
    <col min="4" max="4" width="12.5703125" style="2" customWidth="1"/>
    <col min="5" max="5" width="4.42578125" style="2" customWidth="1"/>
    <col min="6" max="6" width="8.7109375" style="2" customWidth="1"/>
    <col min="7" max="7" width="5.140625" style="2" customWidth="1"/>
    <col min="8" max="8" width="13.28515625" style="2" customWidth="1"/>
    <col min="9" max="9" width="14" style="2" customWidth="1"/>
    <col min="10" max="10" width="15.42578125" style="2" customWidth="1"/>
    <col min="11" max="11" width="20.28515625" style="2" customWidth="1"/>
    <col min="12" max="12" width="25.5703125" style="2" customWidth="1"/>
    <col min="13" max="13" width="11" style="2" customWidth="1"/>
    <col min="14" max="14" width="4.28515625" style="2" customWidth="1"/>
    <col min="15" max="15" width="13.85546875" style="2" customWidth="1"/>
    <col min="16" max="16" width="11.28515625" style="2" customWidth="1"/>
    <col min="17" max="16384" width="8.85546875" style="2"/>
  </cols>
  <sheetData>
    <row r="2" spans="1:18" ht="15" x14ac:dyDescent="0.25">
      <c r="A2" s="188" t="s">
        <v>133</v>
      </c>
      <c r="B2" s="189" t="s">
        <v>63</v>
      </c>
      <c r="C2" s="189"/>
      <c r="D2" s="983" t="str">
        <f>'DATA AWAL NASABAH'!B2</f>
        <v>DYAH RETNO SULISTYOWATI</v>
      </c>
      <c r="E2" s="983"/>
      <c r="F2" s="983"/>
      <c r="G2" s="983"/>
      <c r="H2" s="983"/>
      <c r="I2"/>
      <c r="J2"/>
      <c r="K2"/>
      <c r="L2"/>
      <c r="M2"/>
      <c r="N2"/>
      <c r="O2"/>
    </row>
    <row r="3" spans="1:18" ht="15" x14ac:dyDescent="0.25">
      <c r="A3" s="188" t="s">
        <v>129</v>
      </c>
      <c r="B3" s="189" t="s">
        <v>63</v>
      </c>
      <c r="C3" s="189"/>
      <c r="D3" s="983" t="str">
        <f>'DATA AWAL NASABAH'!B21</f>
        <v>TOSARI REJO 001/006 JARAKSARI WONOSOBO</v>
      </c>
      <c r="E3" s="983"/>
      <c r="F3" s="983"/>
      <c r="G3" s="983"/>
      <c r="H3" s="983"/>
      <c r="I3"/>
      <c r="J3"/>
      <c r="K3"/>
      <c r="L3"/>
      <c r="M3"/>
      <c r="N3"/>
      <c r="O3"/>
    </row>
    <row r="4" spans="1:18" ht="15" x14ac:dyDescent="0.25">
      <c r="A4" s="188" t="s">
        <v>393</v>
      </c>
      <c r="B4" s="189" t="s">
        <v>63</v>
      </c>
      <c r="C4" s="189"/>
      <c r="D4" s="983" t="str">
        <f>'DATA AWAL NASABAH'!B4</f>
        <v>PNS</v>
      </c>
      <c r="E4" s="983"/>
      <c r="F4" s="983"/>
      <c r="G4" s="983"/>
      <c r="H4" s="983"/>
      <c r="I4"/>
      <c r="J4"/>
      <c r="K4"/>
      <c r="L4"/>
      <c r="M4"/>
      <c r="N4"/>
      <c r="O4"/>
    </row>
    <row r="5" spans="1:18" ht="15" x14ac:dyDescent="0.25">
      <c r="A5" s="188" t="s">
        <v>138</v>
      </c>
      <c r="B5" s="189" t="s">
        <v>63</v>
      </c>
      <c r="C5" s="189"/>
      <c r="D5" s="200">
        <f>'DATA AWAL NASABAH'!B1</f>
        <v>45986</v>
      </c>
      <c r="E5" s="200"/>
      <c r="F5" s="190"/>
      <c r="G5" s="190"/>
      <c r="H5" s="507"/>
      <c r="I5"/>
      <c r="J5"/>
      <c r="K5"/>
      <c r="L5"/>
      <c r="M5"/>
      <c r="N5"/>
      <c r="O5"/>
    </row>
    <row r="6" spans="1:18" ht="15.75" thickBot="1" x14ac:dyDescent="0.3">
      <c r="A6"/>
      <c r="B6"/>
      <c r="C6"/>
      <c r="D6"/>
      <c r="E6"/>
      <c r="F6"/>
      <c r="G6"/>
      <c r="H6"/>
      <c r="I6"/>
      <c r="J6"/>
      <c r="K6"/>
      <c r="L6"/>
      <c r="M6"/>
      <c r="N6"/>
      <c r="O6"/>
      <c r="P6" s="2">
        <f>'6 C'!C15</f>
        <v>4</v>
      </c>
    </row>
    <row r="7" spans="1:18" ht="16.5" thickBot="1" x14ac:dyDescent="0.3">
      <c r="A7" s="1008" t="s">
        <v>159</v>
      </c>
      <c r="B7" s="1009"/>
      <c r="C7" s="1010"/>
      <c r="D7" s="1008" t="s">
        <v>139</v>
      </c>
      <c r="E7" s="1009"/>
      <c r="F7" s="1009"/>
      <c r="G7" s="1010"/>
      <c r="H7" s="1008" t="s">
        <v>140</v>
      </c>
      <c r="I7" s="1010"/>
      <c r="J7" s="1011" t="s">
        <v>141</v>
      </c>
      <c r="K7" s="1012"/>
      <c r="L7" s="988" t="s">
        <v>142</v>
      </c>
      <c r="M7" s="989"/>
      <c r="N7" s="990"/>
      <c r="O7"/>
    </row>
    <row r="8" spans="1:18" ht="15" customHeight="1" x14ac:dyDescent="0.25">
      <c r="A8" s="543" t="s">
        <v>143</v>
      </c>
      <c r="B8" s="991">
        <f>'6 C'!B58</f>
        <v>4</v>
      </c>
      <c r="C8" s="992"/>
      <c r="D8" s="989" t="s">
        <v>144</v>
      </c>
      <c r="E8" s="989"/>
      <c r="F8" s="995" t="str">
        <f>'6 C'!B49</f>
        <v>3</v>
      </c>
      <c r="G8" s="996"/>
      <c r="H8" s="544" t="s">
        <v>143</v>
      </c>
      <c r="I8" s="999" t="str">
        <f>'6 C'!B52</f>
        <v>3</v>
      </c>
      <c r="J8" s="545" t="s">
        <v>144</v>
      </c>
      <c r="K8" s="1006">
        <f>'6 C'!B61</f>
        <v>4</v>
      </c>
      <c r="L8" s="546" t="s">
        <v>144</v>
      </c>
      <c r="M8" s="1001" t="str">
        <f>'6 C'!B55</f>
        <v>3</v>
      </c>
      <c r="N8" s="1002"/>
      <c r="O8"/>
    </row>
    <row r="9" spans="1:18" ht="15" customHeight="1" x14ac:dyDescent="0.25">
      <c r="A9" s="547" t="s">
        <v>394</v>
      </c>
      <c r="B9" s="993"/>
      <c r="C9" s="994"/>
      <c r="D9" s="1005" t="s">
        <v>394</v>
      </c>
      <c r="E9" s="1005"/>
      <c r="F9" s="997"/>
      <c r="G9" s="998"/>
      <c r="H9" s="548" t="s">
        <v>394</v>
      </c>
      <c r="I9" s="1000"/>
      <c r="J9" s="548" t="s">
        <v>394</v>
      </c>
      <c r="K9" s="1007"/>
      <c r="L9" s="549" t="s">
        <v>394</v>
      </c>
      <c r="M9" s="1003"/>
      <c r="N9" s="1004"/>
      <c r="O9"/>
      <c r="P9" s="672">
        <f>ROUND(P6,0)</f>
        <v>4</v>
      </c>
    </row>
    <row r="10" spans="1:18" ht="15.75" x14ac:dyDescent="0.3">
      <c r="A10" s="560" t="s">
        <v>143</v>
      </c>
      <c r="B10" s="984" t="s">
        <v>145</v>
      </c>
      <c r="C10" s="985"/>
      <c r="D10" s="984" t="s">
        <v>144</v>
      </c>
      <c r="E10" s="985"/>
      <c r="F10" s="984" t="s">
        <v>145</v>
      </c>
      <c r="G10" s="985"/>
      <c r="H10" s="550" t="s">
        <v>143</v>
      </c>
      <c r="I10" s="551" t="s">
        <v>145</v>
      </c>
      <c r="J10" s="551" t="s">
        <v>144</v>
      </c>
      <c r="K10" s="561" t="s">
        <v>145</v>
      </c>
      <c r="L10" s="551" t="s">
        <v>144</v>
      </c>
      <c r="M10" s="984" t="s">
        <v>145</v>
      </c>
      <c r="N10" s="1013"/>
      <c r="O10"/>
    </row>
    <row r="11" spans="1:18" ht="15" x14ac:dyDescent="0.25">
      <c r="A11" s="562" t="s">
        <v>147</v>
      </c>
      <c r="B11" s="1014">
        <v>5</v>
      </c>
      <c r="C11" s="1015"/>
      <c r="D11" s="1016" t="s">
        <v>548</v>
      </c>
      <c r="E11" s="1017"/>
      <c r="F11" s="1016">
        <v>5</v>
      </c>
      <c r="G11" s="1017"/>
      <c r="H11" s="499" t="s">
        <v>549</v>
      </c>
      <c r="I11" s="191">
        <v>5</v>
      </c>
      <c r="J11" s="499" t="s">
        <v>147</v>
      </c>
      <c r="K11" s="509">
        <v>5</v>
      </c>
      <c r="L11" s="192" t="s">
        <v>550</v>
      </c>
      <c r="M11" s="1018">
        <v>5</v>
      </c>
      <c r="N11" s="1019"/>
      <c r="O11"/>
    </row>
    <row r="12" spans="1:18" ht="15" x14ac:dyDescent="0.25">
      <c r="A12" s="562" t="s">
        <v>148</v>
      </c>
      <c r="B12" s="1016">
        <v>4</v>
      </c>
      <c r="C12" s="1017"/>
      <c r="D12" s="1016" t="s">
        <v>149</v>
      </c>
      <c r="E12" s="1017"/>
      <c r="F12" s="1016">
        <v>4</v>
      </c>
      <c r="G12" s="1017"/>
      <c r="H12" s="499" t="s">
        <v>551</v>
      </c>
      <c r="I12" s="509">
        <v>4</v>
      </c>
      <c r="J12" s="499" t="s">
        <v>148</v>
      </c>
      <c r="K12" s="509">
        <v>4</v>
      </c>
      <c r="L12" s="192" t="s">
        <v>149</v>
      </c>
      <c r="M12" s="1018">
        <v>4</v>
      </c>
      <c r="N12" s="1019"/>
      <c r="O12"/>
    </row>
    <row r="13" spans="1:18" ht="15" x14ac:dyDescent="0.25">
      <c r="A13" s="562" t="s">
        <v>150</v>
      </c>
      <c r="B13" s="1016">
        <v>3</v>
      </c>
      <c r="C13" s="1017"/>
      <c r="D13" s="1016" t="s">
        <v>151</v>
      </c>
      <c r="E13" s="1017"/>
      <c r="F13" s="1016">
        <v>3</v>
      </c>
      <c r="G13" s="1017"/>
      <c r="H13" s="499" t="s">
        <v>471</v>
      </c>
      <c r="I13" s="509">
        <v>3</v>
      </c>
      <c r="J13" s="499" t="s">
        <v>150</v>
      </c>
      <c r="K13" s="509">
        <v>3</v>
      </c>
      <c r="L13" s="192" t="s">
        <v>151</v>
      </c>
      <c r="M13" s="1018">
        <v>3</v>
      </c>
      <c r="N13" s="1019"/>
      <c r="O13"/>
      <c r="R13" s="209"/>
    </row>
    <row r="14" spans="1:18" ht="15" x14ac:dyDescent="0.25">
      <c r="A14" s="562" t="s">
        <v>152</v>
      </c>
      <c r="B14" s="1016">
        <v>2</v>
      </c>
      <c r="C14" s="1017"/>
      <c r="D14" s="1016" t="s">
        <v>153</v>
      </c>
      <c r="E14" s="1017"/>
      <c r="F14" s="1016">
        <v>2</v>
      </c>
      <c r="G14" s="1017"/>
      <c r="H14" s="499" t="s">
        <v>472</v>
      </c>
      <c r="I14" s="509">
        <v>2</v>
      </c>
      <c r="J14" s="499" t="s">
        <v>152</v>
      </c>
      <c r="K14" s="509">
        <v>2</v>
      </c>
      <c r="L14" s="192" t="s">
        <v>153</v>
      </c>
      <c r="M14" s="1018">
        <v>2</v>
      </c>
      <c r="N14" s="1019"/>
      <c r="O14"/>
      <c r="R14" s="210"/>
    </row>
    <row r="15" spans="1:18" ht="15.75" thickBot="1" x14ac:dyDescent="0.3">
      <c r="A15" s="563" t="s">
        <v>154</v>
      </c>
      <c r="B15" s="1020">
        <v>1</v>
      </c>
      <c r="C15" s="1021"/>
      <c r="D15" s="1020" t="s">
        <v>552</v>
      </c>
      <c r="E15" s="1021"/>
      <c r="F15" s="1020">
        <v>1</v>
      </c>
      <c r="G15" s="1021"/>
      <c r="H15" s="564" t="s">
        <v>553</v>
      </c>
      <c r="I15" s="565">
        <v>1</v>
      </c>
      <c r="J15" s="564" t="s">
        <v>154</v>
      </c>
      <c r="K15" s="565">
        <v>1</v>
      </c>
      <c r="L15" s="566" t="s">
        <v>552</v>
      </c>
      <c r="M15" s="1022">
        <v>1</v>
      </c>
      <c r="N15" s="1023"/>
      <c r="O15"/>
      <c r="R15" s="211"/>
    </row>
    <row r="16" spans="1:18" ht="15" x14ac:dyDescent="0.25">
      <c r="A16" s="259"/>
      <c r="B16" s="259"/>
      <c r="C16" s="259"/>
      <c r="D16" s="259"/>
      <c r="E16" s="259"/>
      <c r="F16" s="259"/>
      <c r="G16" s="259"/>
      <c r="H16" s="259"/>
      <c r="I16" s="259"/>
      <c r="J16" s="259"/>
      <c r="K16" s="259"/>
      <c r="L16" s="259"/>
      <c r="M16" s="259"/>
      <c r="N16" s="259"/>
      <c r="O16"/>
    </row>
    <row r="17" spans="1:15" ht="16.5" thickBot="1" x14ac:dyDescent="0.3">
      <c r="A17" s="1024" t="s">
        <v>155</v>
      </c>
      <c r="B17" s="1024"/>
      <c r="C17" s="1024"/>
      <c r="D17" s="1024"/>
      <c r="E17" s="1024"/>
      <c r="F17" s="1024"/>
      <c r="G17" s="1024"/>
      <c r="H17" s="1024"/>
      <c r="I17" s="1024"/>
      <c r="J17" s="193"/>
      <c r="K17"/>
      <c r="L17"/>
      <c r="M17"/>
      <c r="N17"/>
      <c r="O17"/>
    </row>
    <row r="18" spans="1:15" ht="16.5" thickBot="1" x14ac:dyDescent="0.3">
      <c r="A18" s="1025" t="s">
        <v>156</v>
      </c>
      <c r="B18" s="1026"/>
      <c r="C18" s="1027"/>
      <c r="D18" s="1028"/>
      <c r="E18" s="1029" t="s">
        <v>146</v>
      </c>
      <c r="F18" s="1030"/>
      <c r="G18" s="1031"/>
      <c r="H18" s="194" t="s">
        <v>145</v>
      </c>
      <c r="I18" s="195" t="s">
        <v>157</v>
      </c>
      <c r="J18"/>
      <c r="K18" s="509" t="s">
        <v>157</v>
      </c>
      <c r="L18" s="499" t="s">
        <v>158</v>
      </c>
      <c r="M18"/>
      <c r="N18" s="217"/>
      <c r="O18"/>
    </row>
    <row r="19" spans="1:15" ht="15" x14ac:dyDescent="0.25">
      <c r="A19" s="1032" t="s">
        <v>159</v>
      </c>
      <c r="B19" s="1033"/>
      <c r="C19" s="1033"/>
      <c r="D19" s="1033"/>
      <c r="E19" s="1016">
        <f>B8</f>
        <v>4</v>
      </c>
      <c r="F19" s="1034"/>
      <c r="G19" s="1017"/>
      <c r="H19" s="196">
        <v>0.2</v>
      </c>
      <c r="I19" s="567">
        <f>E19*H19</f>
        <v>0.8</v>
      </c>
      <c r="J19"/>
      <c r="K19" s="509">
        <v>5</v>
      </c>
      <c r="L19" s="499" t="s">
        <v>160</v>
      </c>
      <c r="M19"/>
      <c r="N19"/>
      <c r="O19"/>
    </row>
    <row r="20" spans="1:15" ht="15" x14ac:dyDescent="0.25">
      <c r="A20" s="1032" t="s">
        <v>139</v>
      </c>
      <c r="B20" s="1033"/>
      <c r="C20" s="1033"/>
      <c r="D20" s="1033"/>
      <c r="E20" s="1016" t="str">
        <f>F8</f>
        <v>3</v>
      </c>
      <c r="F20" s="1034"/>
      <c r="G20" s="1017"/>
      <c r="H20" s="196">
        <v>0.3</v>
      </c>
      <c r="I20" s="567">
        <f>E20*H20</f>
        <v>0.89999999999999991</v>
      </c>
      <c r="J20"/>
      <c r="K20" s="509" t="s">
        <v>161</v>
      </c>
      <c r="L20" s="499" t="s">
        <v>162</v>
      </c>
      <c r="M20"/>
      <c r="N20"/>
      <c r="O20"/>
    </row>
    <row r="21" spans="1:15" ht="15" x14ac:dyDescent="0.25">
      <c r="A21" s="1032" t="s">
        <v>140</v>
      </c>
      <c r="B21" s="1033"/>
      <c r="C21" s="1033"/>
      <c r="D21" s="1033"/>
      <c r="E21" s="1016" t="str">
        <f>I8</f>
        <v>3</v>
      </c>
      <c r="F21" s="1034"/>
      <c r="G21" s="1017"/>
      <c r="H21" s="196">
        <v>0.2</v>
      </c>
      <c r="I21" s="567">
        <f>E21*H21</f>
        <v>0.60000000000000009</v>
      </c>
      <c r="J21"/>
      <c r="K21" s="509" t="s">
        <v>163</v>
      </c>
      <c r="L21" s="499" t="s">
        <v>164</v>
      </c>
      <c r="M21"/>
      <c r="N21"/>
      <c r="O21"/>
    </row>
    <row r="22" spans="1:15" ht="15" x14ac:dyDescent="0.25">
      <c r="A22" s="1032" t="s">
        <v>141</v>
      </c>
      <c r="B22" s="1033"/>
      <c r="C22" s="1033"/>
      <c r="D22" s="1033"/>
      <c r="E22" s="1016">
        <f>K8</f>
        <v>4</v>
      </c>
      <c r="F22" s="1034"/>
      <c r="G22" s="1017"/>
      <c r="H22" s="196">
        <v>0.1</v>
      </c>
      <c r="I22" s="567">
        <f>E22*H22</f>
        <v>0.4</v>
      </c>
      <c r="J22"/>
      <c r="K22" s="509" t="s">
        <v>166</v>
      </c>
      <c r="L22" s="499" t="s">
        <v>167</v>
      </c>
      <c r="M22"/>
      <c r="N22"/>
      <c r="O22"/>
    </row>
    <row r="23" spans="1:15" ht="15.75" thickBot="1" x14ac:dyDescent="0.3">
      <c r="A23" s="1040" t="s">
        <v>165</v>
      </c>
      <c r="B23" s="1041"/>
      <c r="C23" s="1041"/>
      <c r="D23" s="1041"/>
      <c r="E23" s="1020" t="str">
        <f>M8</f>
        <v>3</v>
      </c>
      <c r="F23" s="1042"/>
      <c r="G23" s="1021"/>
      <c r="H23" s="197">
        <v>0.2</v>
      </c>
      <c r="I23" s="568">
        <f>E23*H23</f>
        <v>0.60000000000000009</v>
      </c>
      <c r="J23"/>
      <c r="M23"/>
      <c r="N23"/>
      <c r="O23"/>
    </row>
    <row r="24" spans="1:15" ht="16.5" thickBot="1" x14ac:dyDescent="0.3">
      <c r="A24" s="1043" t="s">
        <v>168</v>
      </c>
      <c r="B24" s="1044"/>
      <c r="C24" s="1044"/>
      <c r="D24" s="1044"/>
      <c r="E24" s="1044"/>
      <c r="F24" s="1044"/>
      <c r="G24" s="1044"/>
      <c r="H24" s="1045"/>
      <c r="I24" s="198">
        <f>I19+I20+I21+I22+I23</f>
        <v>3.3</v>
      </c>
      <c r="J24"/>
      <c r="K24" s="199" t="s">
        <v>169</v>
      </c>
      <c r="L24" s="508" t="s">
        <v>554</v>
      </c>
      <c r="M24" s="1046" t="s">
        <v>555</v>
      </c>
      <c r="N24" s="1046"/>
      <c r="O24" s="504"/>
    </row>
    <row r="25" spans="1:15" ht="15.75" customHeight="1" thickBot="1" x14ac:dyDescent="0.3">
      <c r="A25"/>
      <c r="B25"/>
      <c r="C25"/>
      <c r="D25"/>
      <c r="E25"/>
      <c r="F25"/>
      <c r="G25"/>
      <c r="H25"/>
      <c r="I25" s="119"/>
      <c r="J25"/>
      <c r="K25" s="980" t="s">
        <v>681</v>
      </c>
      <c r="L25" s="552" t="s">
        <v>510</v>
      </c>
      <c r="M25" s="979"/>
      <c r="N25" s="979"/>
      <c r="O25" s="13"/>
    </row>
    <row r="26" spans="1:15" ht="15.75" customHeight="1" x14ac:dyDescent="0.25">
      <c r="A26" s="1047" t="s">
        <v>157</v>
      </c>
      <c r="B26" s="1048"/>
      <c r="C26" s="1048"/>
      <c r="D26" s="1048"/>
      <c r="E26" s="1048"/>
      <c r="F26" s="1048"/>
      <c r="G26" s="1048"/>
      <c r="H26" s="1049">
        <f>I24</f>
        <v>3.3</v>
      </c>
      <c r="I26" s="1050"/>
      <c r="J26" s="553"/>
      <c r="K26" s="981"/>
      <c r="L26" s="554" t="str">
        <f>'DATA AWAL NASABAH'!B30</f>
        <v>ADRIAN WAHYU P</v>
      </c>
      <c r="M26" s="979"/>
      <c r="N26" s="979"/>
      <c r="O26" s="13"/>
    </row>
    <row r="27" spans="1:15" ht="18.75" x14ac:dyDescent="0.3">
      <c r="A27" s="1051" t="s">
        <v>170</v>
      </c>
      <c r="B27" s="1052"/>
      <c r="C27" s="1052"/>
      <c r="D27" s="1052"/>
      <c r="E27" s="1052"/>
      <c r="F27" s="1052"/>
      <c r="G27" s="1052"/>
      <c r="H27" s="569" t="s">
        <v>162</v>
      </c>
      <c r="I27" s="570" t="s">
        <v>171</v>
      </c>
      <c r="J27" s="555"/>
      <c r="K27" s="981"/>
      <c r="L27" s="552" t="s">
        <v>4</v>
      </c>
      <c r="M27" s="979"/>
      <c r="N27" s="979"/>
      <c r="O27" s="13"/>
    </row>
    <row r="28" spans="1:15" ht="15.75" x14ac:dyDescent="0.25">
      <c r="A28" s="1035" t="s">
        <v>172</v>
      </c>
      <c r="B28" s="1036"/>
      <c r="C28" s="1036"/>
      <c r="D28" s="1036"/>
      <c r="E28" s="1036"/>
      <c r="F28" s="1036"/>
      <c r="G28" s="1036"/>
      <c r="H28" s="1053">
        <f>'DATA AWAL NASABAH'!B18</f>
        <v>2000000000</v>
      </c>
      <c r="I28" s="1054"/>
      <c r="J28" s="556"/>
      <c r="K28" s="981"/>
      <c r="L28" s="554" t="s">
        <v>745</v>
      </c>
      <c r="M28" s="979"/>
      <c r="N28" s="979"/>
      <c r="O28" s="13"/>
    </row>
    <row r="29" spans="1:15" ht="15.75" x14ac:dyDescent="0.25">
      <c r="A29" s="1035" t="s">
        <v>173</v>
      </c>
      <c r="B29" s="1036"/>
      <c r="C29" s="1036"/>
      <c r="D29" s="1036"/>
      <c r="E29" s="1036"/>
      <c r="F29" s="1036"/>
      <c r="G29" s="1036"/>
      <c r="H29" s="1055">
        <f>'DATA AWAL NASABAH'!B19</f>
        <v>12</v>
      </c>
      <c r="I29" s="1056"/>
      <c r="J29" s="557"/>
      <c r="K29" s="981"/>
      <c r="L29" s="552" t="s">
        <v>4</v>
      </c>
      <c r="M29" s="979"/>
      <c r="N29" s="979"/>
      <c r="O29" s="13"/>
    </row>
    <row r="30" spans="1:15" ht="16.5" thickBot="1" x14ac:dyDescent="0.3">
      <c r="A30" s="1037" t="s">
        <v>174</v>
      </c>
      <c r="B30" s="1038"/>
      <c r="C30" s="1038"/>
      <c r="D30" s="1038"/>
      <c r="E30" s="1038"/>
      <c r="F30" s="1038"/>
      <c r="G30" s="1038"/>
      <c r="H30" s="986">
        <f>'DATA AWAL NASABAH'!B20</f>
        <v>1.4999999999999999E-2</v>
      </c>
      <c r="I30" s="987"/>
      <c r="J30" s="557"/>
      <c r="K30" s="981"/>
      <c r="L30" s="554" t="s">
        <v>746</v>
      </c>
      <c r="M30" s="979"/>
      <c r="N30" s="979"/>
      <c r="O30" s="13"/>
    </row>
    <row r="31" spans="1:15" ht="15" x14ac:dyDescent="0.25">
      <c r="A31"/>
      <c r="B31"/>
      <c r="C31"/>
      <c r="D31"/>
      <c r="E31"/>
      <c r="F31"/>
      <c r="G31"/>
      <c r="H31"/>
      <c r="I31"/>
      <c r="J31"/>
      <c r="K31" s="981"/>
      <c r="L31" s="552" t="s">
        <v>4</v>
      </c>
      <c r="M31" s="979"/>
      <c r="N31" s="979"/>
      <c r="O31"/>
    </row>
    <row r="32" spans="1:15" x14ac:dyDescent="0.25">
      <c r="B32" s="558"/>
      <c r="C32" s="558"/>
      <c r="D32" s="558"/>
      <c r="E32" s="558"/>
      <c r="F32" s="558"/>
      <c r="G32" s="558"/>
      <c r="H32" s="558"/>
      <c r="I32" s="558"/>
      <c r="J32" s="558"/>
      <c r="K32" s="982"/>
      <c r="L32" s="554" t="s">
        <v>570</v>
      </c>
      <c r="M32" s="979"/>
      <c r="N32" s="979"/>
    </row>
    <row r="33" spans="2:13" x14ac:dyDescent="0.25">
      <c r="B33" s="558"/>
      <c r="C33" s="558"/>
      <c r="D33" s="558"/>
      <c r="E33" s="558"/>
      <c r="F33" s="558"/>
      <c r="G33" s="558"/>
      <c r="H33" s="558"/>
      <c r="I33" s="558"/>
      <c r="J33" s="558"/>
      <c r="K33" s="558"/>
      <c r="L33" s="1039"/>
      <c r="M33" s="1039"/>
    </row>
    <row r="34" spans="2:13" x14ac:dyDescent="0.25">
      <c r="B34" s="558"/>
      <c r="C34" s="558"/>
      <c r="D34" s="558"/>
      <c r="E34" s="558"/>
      <c r="F34" s="558"/>
      <c r="G34" s="558"/>
      <c r="H34" s="558"/>
      <c r="I34" s="558"/>
      <c r="J34" s="558"/>
      <c r="K34" s="558"/>
      <c r="L34" s="1039"/>
      <c r="M34" s="1039"/>
    </row>
    <row r="35" spans="2:13" x14ac:dyDescent="0.25">
      <c r="B35" s="558"/>
      <c r="C35" s="558"/>
      <c r="D35" s="558"/>
      <c r="E35" s="558"/>
      <c r="F35" s="558"/>
      <c r="G35" s="558"/>
      <c r="H35" s="558"/>
      <c r="I35" s="558"/>
      <c r="J35" s="558"/>
      <c r="K35" s="558"/>
      <c r="L35" s="1039"/>
      <c r="M35" s="1039"/>
    </row>
    <row r="36" spans="2:13" x14ac:dyDescent="0.25">
      <c r="B36" s="558"/>
      <c r="C36" s="558"/>
      <c r="D36" s="558"/>
      <c r="E36" s="558"/>
      <c r="F36" s="558"/>
      <c r="G36" s="558"/>
      <c r="H36" s="558"/>
      <c r="I36" s="558"/>
      <c r="J36" s="558"/>
      <c r="K36" s="558"/>
      <c r="L36" s="1039"/>
      <c r="M36" s="1039"/>
    </row>
    <row r="37" spans="2:13" ht="14.25" x14ac:dyDescent="0.3">
      <c r="B37" s="558"/>
      <c r="C37" s="558"/>
      <c r="D37" s="558"/>
      <c r="E37" s="558"/>
      <c r="F37" s="558"/>
      <c r="G37" s="558"/>
      <c r="H37" s="558"/>
      <c r="I37" s="558"/>
      <c r="J37" s="558"/>
      <c r="K37" s="558"/>
      <c r="L37" s="558"/>
      <c r="M37" s="559"/>
    </row>
    <row r="39" spans="2:13" x14ac:dyDescent="0.25">
      <c r="K39" s="2" t="str">
        <f>IF(I24&gt;=5,"LAYAK SEKALI",IF(I24&gt;=4,"LAYAK",IF(K25&gt;=3,"MAINTENANCE ANGSURAN",IF(I24&gt;=25,"TIDAK LAYAK"))))</f>
        <v>MAINTENANCE ANGSURAN</v>
      </c>
    </row>
    <row r="42" spans="2:13" x14ac:dyDescent="0.25">
      <c r="B42" s="558"/>
      <c r="C42" s="558"/>
      <c r="D42" s="558"/>
      <c r="E42" s="558"/>
      <c r="F42" s="558"/>
      <c r="G42" s="558"/>
      <c r="H42" s="558"/>
      <c r="I42" s="558"/>
      <c r="J42" s="558"/>
      <c r="K42" s="558"/>
    </row>
    <row r="43" spans="2:13" x14ac:dyDescent="0.25">
      <c r="B43" s="558"/>
      <c r="C43" s="558"/>
      <c r="D43" s="558"/>
      <c r="E43" s="558"/>
      <c r="F43" s="558"/>
      <c r="G43" s="558"/>
      <c r="H43" s="558"/>
      <c r="I43" s="558"/>
      <c r="J43" s="558"/>
      <c r="K43" s="558"/>
    </row>
    <row r="44" spans="2:13" x14ac:dyDescent="0.25">
      <c r="B44" s="558"/>
      <c r="C44" s="558"/>
      <c r="D44" s="558"/>
      <c r="E44" s="558"/>
      <c r="F44" s="558"/>
      <c r="G44" s="558"/>
      <c r="H44" s="558"/>
      <c r="I44" s="558"/>
      <c r="J44" s="558"/>
      <c r="K44" s="558"/>
    </row>
    <row r="45" spans="2:13" x14ac:dyDescent="0.25">
      <c r="B45" s="558"/>
      <c r="C45" s="558"/>
      <c r="D45" s="558"/>
      <c r="E45" s="558"/>
      <c r="F45" s="558"/>
      <c r="G45" s="558"/>
      <c r="H45" s="558"/>
      <c r="I45" s="558"/>
      <c r="J45" s="558"/>
      <c r="K45" s="558"/>
    </row>
    <row r="46" spans="2:13" x14ac:dyDescent="0.25">
      <c r="B46" s="558"/>
      <c r="C46" s="558"/>
      <c r="D46" s="558"/>
      <c r="E46" s="558"/>
      <c r="F46" s="558"/>
      <c r="G46" s="558"/>
      <c r="H46" s="558"/>
      <c r="I46" s="558"/>
      <c r="J46" s="558"/>
      <c r="K46" s="558"/>
    </row>
    <row r="47" spans="2:13" x14ac:dyDescent="0.25">
      <c r="B47" s="558"/>
      <c r="C47" s="558"/>
      <c r="D47" s="558"/>
      <c r="E47" s="558"/>
      <c r="F47" s="558"/>
      <c r="G47" s="558"/>
      <c r="H47" s="558"/>
      <c r="I47" s="558"/>
      <c r="J47" s="558"/>
      <c r="K47" s="558"/>
    </row>
  </sheetData>
  <mergeCells count="70">
    <mergeCell ref="L33:M35"/>
    <mergeCell ref="L36:M36"/>
    <mergeCell ref="D3:H3"/>
    <mergeCell ref="A23:D23"/>
    <mergeCell ref="E23:G23"/>
    <mergeCell ref="A24:H24"/>
    <mergeCell ref="M24:N24"/>
    <mergeCell ref="M25:N26"/>
    <mergeCell ref="A26:G26"/>
    <mergeCell ref="H26:I26"/>
    <mergeCell ref="A27:G27"/>
    <mergeCell ref="M27:N28"/>
    <mergeCell ref="A28:G28"/>
    <mergeCell ref="H28:I28"/>
    <mergeCell ref="H29:I29"/>
    <mergeCell ref="M29:N30"/>
    <mergeCell ref="A30:G30"/>
    <mergeCell ref="A20:D20"/>
    <mergeCell ref="E20:G20"/>
    <mergeCell ref="A21:D21"/>
    <mergeCell ref="E21:G21"/>
    <mergeCell ref="A22:D22"/>
    <mergeCell ref="E22:G22"/>
    <mergeCell ref="A18:D18"/>
    <mergeCell ref="E18:G18"/>
    <mergeCell ref="A19:D19"/>
    <mergeCell ref="E19:G19"/>
    <mergeCell ref="A29:G29"/>
    <mergeCell ref="B15:C15"/>
    <mergeCell ref="D15:E15"/>
    <mergeCell ref="F15:G15"/>
    <mergeCell ref="M15:N15"/>
    <mergeCell ref="A17:I17"/>
    <mergeCell ref="B13:C13"/>
    <mergeCell ref="D13:E13"/>
    <mergeCell ref="F13:G13"/>
    <mergeCell ref="M13:N13"/>
    <mergeCell ref="B14:C14"/>
    <mergeCell ref="D14:E14"/>
    <mergeCell ref="F14:G14"/>
    <mergeCell ref="M14:N14"/>
    <mergeCell ref="B11:C11"/>
    <mergeCell ref="D11:E11"/>
    <mergeCell ref="F11:G11"/>
    <mergeCell ref="M11:N11"/>
    <mergeCell ref="B12:C12"/>
    <mergeCell ref="D12:E12"/>
    <mergeCell ref="F12:G12"/>
    <mergeCell ref="M12:N12"/>
    <mergeCell ref="H7:I7"/>
    <mergeCell ref="J7:K7"/>
    <mergeCell ref="D10:E10"/>
    <mergeCell ref="F10:G10"/>
    <mergeCell ref="M10:N10"/>
    <mergeCell ref="M31:N32"/>
    <mergeCell ref="K25:K32"/>
    <mergeCell ref="D2:H2"/>
    <mergeCell ref="D4:H4"/>
    <mergeCell ref="B10:C10"/>
    <mergeCell ref="H30:I30"/>
    <mergeCell ref="L7:N7"/>
    <mergeCell ref="B8:C9"/>
    <mergeCell ref="D8:E8"/>
    <mergeCell ref="F8:G9"/>
    <mergeCell ref="I8:I9"/>
    <mergeCell ref="M8:N9"/>
    <mergeCell ref="D9:E9"/>
    <mergeCell ref="K8:K9"/>
    <mergeCell ref="A7:C7"/>
    <mergeCell ref="D7:G7"/>
  </mergeCells>
  <pageMargins left="0.27" right="0.21" top="0.74803149606299202" bottom="0.74803149606299202" header="0.35" footer="0.31496062992126"/>
  <pageSetup paperSize="10000" scale="98" orientation="landscape" horizontalDpi="4294967293" verticalDpi="18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W45"/>
  <sheetViews>
    <sheetView topLeftCell="A20" workbookViewId="0">
      <selection activeCell="P36" sqref="P36"/>
    </sheetView>
  </sheetViews>
  <sheetFormatPr defaultRowHeight="15" x14ac:dyDescent="0.25"/>
  <cols>
    <col min="1" max="1" width="9.140625" customWidth="1"/>
    <col min="3" max="3" width="0.5703125" customWidth="1"/>
    <col min="4" max="4" width="2.7109375" hidden="1" customWidth="1"/>
    <col min="5" max="5" width="9.140625" hidden="1" customWidth="1"/>
    <col min="6" max="6" width="5.85546875" customWidth="1"/>
    <col min="7" max="7" width="13" customWidth="1"/>
    <col min="8" max="8" width="14.140625" customWidth="1"/>
    <col min="9" max="9" width="3.28515625" customWidth="1"/>
    <col min="10" max="11" width="9.140625" hidden="1" customWidth="1"/>
    <col min="12" max="12" width="9.140625" customWidth="1"/>
    <col min="13" max="14" width="26.7109375" customWidth="1"/>
  </cols>
  <sheetData>
    <row r="1" spans="1:17" x14ac:dyDescent="0.25">
      <c r="A1" s="201"/>
      <c r="B1" s="201"/>
      <c r="C1" s="201"/>
      <c r="D1" s="201"/>
      <c r="E1" s="201"/>
      <c r="F1" s="201"/>
      <c r="G1" s="201"/>
      <c r="H1" s="201"/>
      <c r="I1" s="201"/>
      <c r="J1" s="201"/>
      <c r="K1" s="201"/>
      <c r="L1" s="201"/>
      <c r="M1" s="201"/>
      <c r="N1" s="201"/>
    </row>
    <row r="2" spans="1:17" x14ac:dyDescent="0.25">
      <c r="A2" s="1057" t="s">
        <v>538</v>
      </c>
      <c r="B2" s="1057"/>
      <c r="C2" s="1057"/>
      <c r="D2" s="1057"/>
      <c r="E2" s="1057"/>
      <c r="F2" s="1057"/>
      <c r="G2" s="1057"/>
      <c r="H2" s="1057"/>
      <c r="I2" s="1057"/>
      <c r="J2" s="1057"/>
      <c r="K2" s="1057"/>
      <c r="L2" s="1057"/>
      <c r="M2" s="1057"/>
      <c r="N2" s="1057"/>
    </row>
    <row r="3" spans="1:17" x14ac:dyDescent="0.25">
      <c r="B3" s="1058"/>
      <c r="C3" s="1058"/>
      <c r="D3" s="1058"/>
      <c r="E3" s="1058"/>
      <c r="F3" s="1058"/>
      <c r="G3" s="1058"/>
      <c r="H3" s="1058"/>
      <c r="I3" s="1058"/>
      <c r="J3" s="1058"/>
      <c r="K3" s="1058"/>
      <c r="L3" s="1058"/>
      <c r="M3" s="1058"/>
      <c r="N3" s="498"/>
    </row>
    <row r="4" spans="1:17" x14ac:dyDescent="0.25">
      <c r="B4" s="1058"/>
      <c r="C4" s="1058"/>
      <c r="D4" s="1058"/>
      <c r="E4" s="1058"/>
      <c r="F4" s="1058"/>
      <c r="G4" s="1058"/>
      <c r="H4" s="1058"/>
      <c r="I4" s="1058"/>
      <c r="J4" s="1058"/>
      <c r="K4" s="1058"/>
      <c r="L4" s="1058"/>
      <c r="M4" s="1058"/>
      <c r="N4" s="498"/>
    </row>
    <row r="5" spans="1:17" x14ac:dyDescent="0.25">
      <c r="B5" s="1058"/>
      <c r="C5" s="1058"/>
      <c r="D5" s="1058"/>
      <c r="E5" s="1058"/>
      <c r="F5" s="1058"/>
      <c r="G5" s="1058"/>
      <c r="H5" s="1058"/>
      <c r="I5" s="1058"/>
      <c r="J5" s="1058"/>
      <c r="K5" s="1058"/>
      <c r="L5" s="1058"/>
      <c r="M5" s="1058"/>
      <c r="N5" s="498"/>
      <c r="P5" s="202"/>
    </row>
    <row r="6" spans="1:17" x14ac:dyDescent="0.25">
      <c r="B6" s="1058"/>
      <c r="C6" s="1058"/>
      <c r="D6" s="1058"/>
      <c r="E6" s="1058"/>
      <c r="F6" s="1058"/>
      <c r="G6" s="1058"/>
      <c r="H6" s="1058"/>
      <c r="I6" s="1058"/>
      <c r="J6" s="1058"/>
      <c r="K6" s="1058"/>
      <c r="L6" s="1058"/>
      <c r="M6" s="1058"/>
      <c r="N6" s="498"/>
      <c r="P6" s="202"/>
    </row>
    <row r="7" spans="1:17" x14ac:dyDescent="0.25">
      <c r="B7" s="1058"/>
      <c r="C7" s="1058"/>
      <c r="D7" s="1058"/>
      <c r="E7" s="1058"/>
      <c r="F7" s="1058"/>
      <c r="G7" s="1058"/>
      <c r="H7" s="1058"/>
      <c r="I7" s="1058"/>
      <c r="J7" s="1058"/>
      <c r="K7" s="1058"/>
      <c r="L7" s="1058"/>
      <c r="M7" s="1058"/>
      <c r="N7" s="498"/>
      <c r="P7" s="202"/>
    </row>
    <row r="8" spans="1:17" x14ac:dyDescent="0.25">
      <c r="B8" s="1058"/>
      <c r="C8" s="1058"/>
      <c r="D8" s="1058"/>
      <c r="E8" s="1058"/>
      <c r="F8" s="1058"/>
      <c r="G8" s="1058"/>
      <c r="H8" s="1058"/>
      <c r="I8" s="1058"/>
      <c r="J8" s="1058"/>
      <c r="K8" s="1058"/>
      <c r="L8" s="1058"/>
      <c r="M8" s="1058"/>
      <c r="N8" s="498"/>
      <c r="Q8" s="202"/>
    </row>
    <row r="9" spans="1:17" x14ac:dyDescent="0.25">
      <c r="B9" s="1058"/>
      <c r="C9" s="1058"/>
      <c r="D9" s="1058"/>
      <c r="E9" s="1058"/>
      <c r="F9" s="1058"/>
      <c r="G9" s="1058"/>
      <c r="H9" s="1058"/>
      <c r="I9" s="1058"/>
      <c r="J9" s="1058"/>
      <c r="K9" s="1058"/>
      <c r="L9" s="1058"/>
      <c r="M9" s="1058"/>
      <c r="N9" s="498"/>
      <c r="O9" s="92"/>
      <c r="Q9" s="202"/>
    </row>
    <row r="10" spans="1:17" x14ac:dyDescent="0.25">
      <c r="B10" s="1058"/>
      <c r="C10" s="1058"/>
      <c r="D10" s="1058"/>
      <c r="E10" s="1058"/>
      <c r="F10" s="1058"/>
      <c r="G10" s="1058"/>
      <c r="H10" s="1058"/>
      <c r="I10" s="1058"/>
      <c r="J10" s="1058"/>
      <c r="K10" s="1058"/>
      <c r="L10" s="1058"/>
      <c r="M10" s="1058"/>
      <c r="N10" s="498"/>
      <c r="O10" s="92"/>
      <c r="Q10" s="202"/>
    </row>
    <row r="11" spans="1:17" x14ac:dyDescent="0.25">
      <c r="B11" s="1058"/>
      <c r="C11" s="1058"/>
      <c r="D11" s="1058"/>
      <c r="E11" s="1058"/>
      <c r="F11" s="1058"/>
      <c r="G11" s="1058"/>
      <c r="H11" s="1058"/>
      <c r="I11" s="1058"/>
      <c r="J11" s="1058"/>
      <c r="K11" s="1058"/>
      <c r="L11" s="1058"/>
      <c r="M11" s="1058"/>
      <c r="N11" s="498"/>
      <c r="O11" s="92"/>
    </row>
    <row r="12" spans="1:17" x14ac:dyDescent="0.25">
      <c r="B12" s="1058"/>
      <c r="C12" s="1058"/>
      <c r="D12" s="1058"/>
      <c r="E12" s="1058"/>
      <c r="F12" s="1058"/>
      <c r="G12" s="1058"/>
      <c r="H12" s="1058"/>
      <c r="I12" s="1058"/>
      <c r="J12" s="1058"/>
      <c r="K12" s="1058"/>
      <c r="L12" s="1058"/>
      <c r="M12" s="1058"/>
      <c r="N12" s="498"/>
    </row>
    <row r="13" spans="1:17" x14ac:dyDescent="0.25">
      <c r="B13" s="1058"/>
      <c r="C13" s="1058"/>
      <c r="D13" s="1058"/>
      <c r="E13" s="1058"/>
      <c r="F13" s="1058"/>
      <c r="G13" s="1058"/>
      <c r="H13" s="1058"/>
      <c r="I13" s="1058"/>
      <c r="J13" s="1058"/>
      <c r="K13" s="1058"/>
      <c r="L13" s="1058"/>
      <c r="M13" s="1058"/>
      <c r="N13" s="498"/>
    </row>
    <row r="14" spans="1:17" x14ac:dyDescent="0.25">
      <c r="B14" s="1058"/>
      <c r="C14" s="1058"/>
      <c r="D14" s="1058"/>
      <c r="E14" s="1058"/>
      <c r="F14" s="1058"/>
      <c r="G14" s="1058"/>
      <c r="H14" s="1058"/>
      <c r="I14" s="1058"/>
      <c r="J14" s="1058"/>
      <c r="K14" s="1058"/>
      <c r="L14" s="1058"/>
      <c r="M14" s="1058"/>
      <c r="N14" s="498"/>
    </row>
    <row r="15" spans="1:17" x14ac:dyDescent="0.25">
      <c r="B15" s="1058"/>
      <c r="C15" s="1058"/>
      <c r="D15" s="1058"/>
      <c r="E15" s="1058"/>
      <c r="F15" s="1058"/>
      <c r="G15" s="1058"/>
      <c r="H15" s="1058"/>
      <c r="I15" s="1058"/>
      <c r="J15" s="1058"/>
      <c r="K15" s="1058"/>
      <c r="L15" s="1058"/>
      <c r="M15" s="1058"/>
      <c r="N15" s="498"/>
    </row>
    <row r="16" spans="1:17" x14ac:dyDescent="0.25">
      <c r="B16" s="1058"/>
      <c r="C16" s="1058"/>
      <c r="D16" s="1058"/>
      <c r="E16" s="1058"/>
      <c r="F16" s="1058"/>
      <c r="G16" s="1058"/>
      <c r="H16" s="1058"/>
      <c r="I16" s="1058"/>
      <c r="J16" s="1058"/>
      <c r="K16" s="1058"/>
      <c r="L16" s="1058"/>
      <c r="M16" s="1058"/>
      <c r="N16" s="498"/>
    </row>
    <row r="17" spans="1:14" x14ac:dyDescent="0.25">
      <c r="B17" s="1058"/>
      <c r="C17" s="1058"/>
      <c r="D17" s="1058"/>
      <c r="E17" s="1058"/>
      <c r="F17" s="1058"/>
      <c r="G17" s="1058"/>
      <c r="H17" s="1058"/>
      <c r="I17" s="1058"/>
      <c r="J17" s="1058"/>
      <c r="K17" s="1058"/>
      <c r="L17" s="1058"/>
      <c r="M17" s="1058"/>
      <c r="N17" s="498"/>
    </row>
    <row r="18" spans="1:14" x14ac:dyDescent="0.25">
      <c r="B18" s="1058"/>
      <c r="C18" s="1058"/>
      <c r="D18" s="1058"/>
      <c r="E18" s="1058"/>
      <c r="F18" s="1058"/>
      <c r="G18" s="1058"/>
      <c r="H18" s="1058"/>
      <c r="I18" s="1058"/>
      <c r="J18" s="1058"/>
      <c r="K18" s="1058"/>
      <c r="L18" s="1058"/>
      <c r="M18" s="1058"/>
      <c r="N18" s="498"/>
    </row>
    <row r="19" spans="1:14" x14ac:dyDescent="0.25">
      <c r="B19" s="1058"/>
      <c r="C19" s="1058"/>
      <c r="D19" s="1058"/>
      <c r="E19" s="1058"/>
      <c r="F19" s="1058"/>
      <c r="G19" s="1058"/>
      <c r="H19" s="1058"/>
      <c r="I19" s="1058"/>
      <c r="J19" s="1058"/>
      <c r="K19" s="1058"/>
      <c r="L19" s="1058"/>
      <c r="M19" s="1058"/>
      <c r="N19" s="498"/>
    </row>
    <row r="20" spans="1:14" x14ac:dyDescent="0.25">
      <c r="B20" s="1058"/>
      <c r="C20" s="1058"/>
      <c r="D20" s="1058"/>
      <c r="E20" s="1058"/>
      <c r="F20" s="1058"/>
      <c r="G20" s="1058"/>
      <c r="H20" s="1058"/>
      <c r="I20" s="1058"/>
      <c r="J20" s="1058"/>
      <c r="K20" s="1058"/>
      <c r="L20" s="1058"/>
      <c r="M20" s="1058"/>
      <c r="N20" s="498"/>
    </row>
    <row r="21" spans="1:14" x14ac:dyDescent="0.25">
      <c r="B21" s="1058"/>
      <c r="C21" s="1058"/>
      <c r="D21" s="1058"/>
      <c r="E21" s="1058"/>
      <c r="F21" s="1058"/>
      <c r="G21" s="1058"/>
      <c r="H21" s="1058"/>
      <c r="I21" s="1058"/>
      <c r="J21" s="1058"/>
      <c r="K21" s="1058"/>
      <c r="L21" s="1058"/>
      <c r="M21" s="1058"/>
      <c r="N21" s="498"/>
    </row>
    <row r="26" spans="1:14" x14ac:dyDescent="0.25">
      <c r="A26" s="1057" t="s">
        <v>538</v>
      </c>
      <c r="B26" s="1057"/>
      <c r="C26" s="1057"/>
      <c r="D26" s="1057"/>
      <c r="E26" s="1057"/>
      <c r="F26" s="1057"/>
      <c r="G26" s="1057"/>
      <c r="H26" s="1057"/>
      <c r="I26" s="1057"/>
      <c r="J26" s="1057"/>
      <c r="K26" s="1057"/>
      <c r="L26" s="1057"/>
      <c r="M26" s="1057"/>
      <c r="N26" s="1057"/>
    </row>
    <row r="27" spans="1:14" x14ac:dyDescent="0.25">
      <c r="B27" s="1058"/>
      <c r="C27" s="1058"/>
      <c r="D27" s="1058"/>
      <c r="E27" s="1058"/>
      <c r="F27" s="1058"/>
      <c r="G27" s="1058"/>
      <c r="H27" s="1058"/>
      <c r="I27" s="1058"/>
      <c r="J27" s="1058"/>
      <c r="K27" s="1058"/>
      <c r="L27" s="1058"/>
      <c r="M27" s="1058"/>
      <c r="N27" s="606"/>
    </row>
    <row r="28" spans="1:14" x14ac:dyDescent="0.25">
      <c r="B28" s="1058"/>
      <c r="C28" s="1058"/>
      <c r="D28" s="1058"/>
      <c r="E28" s="1058"/>
      <c r="F28" s="1058"/>
      <c r="G28" s="1058"/>
      <c r="H28" s="1058"/>
      <c r="I28" s="1058"/>
      <c r="J28" s="1058"/>
      <c r="K28" s="1058"/>
      <c r="L28" s="1058"/>
      <c r="M28" s="1058"/>
      <c r="N28" s="606"/>
    </row>
    <row r="29" spans="1:14" x14ac:dyDescent="0.25">
      <c r="B29" s="1058"/>
      <c r="C29" s="1058"/>
      <c r="D29" s="1058"/>
      <c r="E29" s="1058"/>
      <c r="F29" s="1058"/>
      <c r="G29" s="1058"/>
      <c r="H29" s="1058"/>
      <c r="I29" s="1058"/>
      <c r="J29" s="1058"/>
      <c r="K29" s="1058"/>
      <c r="L29" s="1058"/>
      <c r="M29" s="1058"/>
      <c r="N29" s="606"/>
    </row>
    <row r="30" spans="1:14" x14ac:dyDescent="0.25">
      <c r="B30" s="1058"/>
      <c r="C30" s="1058"/>
      <c r="D30" s="1058"/>
      <c r="E30" s="1058"/>
      <c r="F30" s="1058"/>
      <c r="G30" s="1058"/>
      <c r="H30" s="1058"/>
      <c r="I30" s="1058"/>
      <c r="J30" s="1058"/>
      <c r="K30" s="1058"/>
      <c r="L30" s="1058"/>
      <c r="M30" s="1058"/>
      <c r="N30" s="606"/>
    </row>
    <row r="31" spans="1:14" x14ac:dyDescent="0.25">
      <c r="B31" s="1058"/>
      <c r="C31" s="1058"/>
      <c r="D31" s="1058"/>
      <c r="E31" s="1058"/>
      <c r="F31" s="1058"/>
      <c r="G31" s="1058"/>
      <c r="H31" s="1058"/>
      <c r="I31" s="1058"/>
      <c r="J31" s="1058"/>
      <c r="K31" s="1058"/>
      <c r="L31" s="1058"/>
      <c r="M31" s="1058"/>
      <c r="N31" s="606"/>
    </row>
    <row r="32" spans="1:14" x14ac:dyDescent="0.25">
      <c r="B32" s="1058"/>
      <c r="C32" s="1058"/>
      <c r="D32" s="1058"/>
      <c r="E32" s="1058"/>
      <c r="F32" s="1058"/>
      <c r="G32" s="1058"/>
      <c r="H32" s="1058"/>
      <c r="I32" s="1058"/>
      <c r="J32" s="1058"/>
      <c r="K32" s="1058"/>
      <c r="L32" s="1058"/>
      <c r="M32" s="1058"/>
      <c r="N32" s="606"/>
    </row>
    <row r="33" spans="2:23" x14ac:dyDescent="0.25">
      <c r="B33" s="1058"/>
      <c r="C33" s="1058"/>
      <c r="D33" s="1058"/>
      <c r="E33" s="1058"/>
      <c r="F33" s="1058"/>
      <c r="G33" s="1058"/>
      <c r="H33" s="1058"/>
      <c r="I33" s="1058"/>
      <c r="J33" s="1058"/>
      <c r="K33" s="1058"/>
      <c r="L33" s="1058"/>
      <c r="M33" s="1058"/>
      <c r="N33" s="606"/>
    </row>
    <row r="34" spans="2:23" x14ac:dyDescent="0.25">
      <c r="B34" s="1058"/>
      <c r="C34" s="1058"/>
      <c r="D34" s="1058"/>
      <c r="E34" s="1058"/>
      <c r="F34" s="1058"/>
      <c r="G34" s="1058"/>
      <c r="H34" s="1058"/>
      <c r="I34" s="1058"/>
      <c r="J34" s="1058"/>
      <c r="K34" s="1058"/>
      <c r="L34" s="1058"/>
      <c r="M34" s="1058"/>
      <c r="N34" s="606"/>
    </row>
    <row r="35" spans="2:23" x14ac:dyDescent="0.25">
      <c r="B35" s="1058"/>
      <c r="C35" s="1058"/>
      <c r="D35" s="1058"/>
      <c r="E35" s="1058"/>
      <c r="F35" s="1058"/>
      <c r="G35" s="1058"/>
      <c r="H35" s="1058"/>
      <c r="I35" s="1058"/>
      <c r="J35" s="1058"/>
      <c r="K35" s="1058"/>
      <c r="L35" s="1058"/>
      <c r="M35" s="1058"/>
      <c r="N35" s="606"/>
    </row>
    <row r="36" spans="2:23" x14ac:dyDescent="0.25">
      <c r="B36" s="1058"/>
      <c r="C36" s="1058"/>
      <c r="D36" s="1058"/>
      <c r="E36" s="1058"/>
      <c r="F36" s="1058"/>
      <c r="G36" s="1058"/>
      <c r="H36" s="1058"/>
      <c r="I36" s="1058"/>
      <c r="J36" s="1058"/>
      <c r="K36" s="1058"/>
      <c r="L36" s="1058"/>
      <c r="M36" s="1058"/>
      <c r="N36" s="606"/>
    </row>
    <row r="37" spans="2:23" x14ac:dyDescent="0.25">
      <c r="B37" s="1058"/>
      <c r="C37" s="1058"/>
      <c r="D37" s="1058"/>
      <c r="E37" s="1058"/>
      <c r="F37" s="1058"/>
      <c r="G37" s="1058"/>
      <c r="H37" s="1058"/>
      <c r="I37" s="1058"/>
      <c r="J37" s="1058"/>
      <c r="K37" s="1058"/>
      <c r="L37" s="1058"/>
      <c r="M37" s="1058"/>
      <c r="N37" s="606"/>
    </row>
    <row r="38" spans="2:23" x14ac:dyDescent="0.25">
      <c r="B38" s="1058"/>
      <c r="C38" s="1058"/>
      <c r="D38" s="1058"/>
      <c r="E38" s="1058"/>
      <c r="F38" s="1058"/>
      <c r="G38" s="1058"/>
      <c r="H38" s="1058"/>
      <c r="I38" s="1058"/>
      <c r="J38" s="1058"/>
      <c r="K38" s="1058"/>
      <c r="L38" s="1058"/>
      <c r="M38" s="1058"/>
      <c r="N38" s="606"/>
      <c r="W38">
        <v>2013</v>
      </c>
    </row>
    <row r="39" spans="2:23" x14ac:dyDescent="0.25">
      <c r="B39" s="1058"/>
      <c r="C39" s="1058"/>
      <c r="D39" s="1058"/>
      <c r="E39" s="1058"/>
      <c r="F39" s="1058"/>
      <c r="G39" s="1058"/>
      <c r="H39" s="1058"/>
      <c r="I39" s="1058"/>
      <c r="J39" s="1058"/>
      <c r="K39" s="1058"/>
      <c r="L39" s="1058"/>
      <c r="M39" s="1058"/>
      <c r="N39" s="606"/>
      <c r="W39">
        <v>1977</v>
      </c>
    </row>
    <row r="40" spans="2:23" x14ac:dyDescent="0.25">
      <c r="B40" s="1058"/>
      <c r="C40" s="1058"/>
      <c r="D40" s="1058"/>
      <c r="E40" s="1058"/>
      <c r="F40" s="1058"/>
      <c r="G40" s="1058"/>
      <c r="H40" s="1058"/>
      <c r="I40" s="1058"/>
      <c r="J40" s="1058"/>
      <c r="K40" s="1058"/>
      <c r="L40" s="1058"/>
      <c r="M40" s="1058"/>
      <c r="N40" s="606"/>
      <c r="W40">
        <f>W38-W39</f>
        <v>36</v>
      </c>
    </row>
    <row r="41" spans="2:23" x14ac:dyDescent="0.25">
      <c r="B41" s="1058"/>
      <c r="C41" s="1058"/>
      <c r="D41" s="1058"/>
      <c r="E41" s="1058"/>
      <c r="F41" s="1058"/>
      <c r="G41" s="1058"/>
      <c r="H41" s="1058"/>
      <c r="I41" s="1058"/>
      <c r="J41" s="1058"/>
      <c r="K41" s="1058"/>
      <c r="L41" s="1058"/>
      <c r="M41" s="1058"/>
      <c r="N41" s="606"/>
    </row>
    <row r="42" spans="2:23" x14ac:dyDescent="0.25">
      <c r="B42" s="1058"/>
      <c r="C42" s="1058"/>
      <c r="D42" s="1058"/>
      <c r="E42" s="1058"/>
      <c r="F42" s="1058"/>
      <c r="G42" s="1058"/>
      <c r="H42" s="1058"/>
      <c r="I42" s="1058"/>
      <c r="J42" s="1058"/>
      <c r="K42" s="1058"/>
      <c r="L42" s="1058"/>
      <c r="M42" s="1058"/>
      <c r="N42" s="606"/>
    </row>
    <row r="43" spans="2:23" x14ac:dyDescent="0.25">
      <c r="B43" s="1058"/>
      <c r="C43" s="1058"/>
      <c r="D43" s="1058"/>
      <c r="E43" s="1058"/>
      <c r="F43" s="1058"/>
      <c r="G43" s="1058"/>
      <c r="H43" s="1058"/>
      <c r="I43" s="1058"/>
      <c r="J43" s="1058"/>
      <c r="K43" s="1058"/>
      <c r="L43" s="1058"/>
      <c r="M43" s="1058"/>
      <c r="N43" s="606"/>
    </row>
    <row r="44" spans="2:23" x14ac:dyDescent="0.25">
      <c r="B44" s="1058"/>
      <c r="C44" s="1058"/>
      <c r="D44" s="1058"/>
      <c r="E44" s="1058"/>
      <c r="F44" s="1058"/>
      <c r="G44" s="1058"/>
      <c r="H44" s="1058"/>
      <c r="I44" s="1058"/>
      <c r="J44" s="1058"/>
      <c r="K44" s="1058"/>
      <c r="L44" s="1058"/>
      <c r="M44" s="1058"/>
      <c r="N44" s="606"/>
    </row>
    <row r="45" spans="2:23" x14ac:dyDescent="0.25">
      <c r="B45" s="1058"/>
      <c r="C45" s="1058"/>
      <c r="D45" s="1058"/>
      <c r="E45" s="1058"/>
      <c r="F45" s="1058"/>
      <c r="G45" s="1058"/>
      <c r="H45" s="1058"/>
      <c r="I45" s="1058"/>
      <c r="J45" s="1058"/>
      <c r="K45" s="1058"/>
      <c r="L45" s="1058"/>
      <c r="M45" s="1058"/>
      <c r="N45" s="606"/>
    </row>
  </sheetData>
  <mergeCells count="6">
    <mergeCell ref="A2:N2"/>
    <mergeCell ref="B3:H21"/>
    <mergeCell ref="I3:M21"/>
    <mergeCell ref="A26:N26"/>
    <mergeCell ref="B27:H45"/>
    <mergeCell ref="I27:M45"/>
  </mergeCells>
  <pageMargins left="0.25" right="0.25" top="0.75" bottom="0.75" header="0.3" footer="0.3"/>
  <pageSetup paperSize="10000" scale="87" fitToHeight="0" orientation="portrait" horizontalDpi="4294967293"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pageSetUpPr fitToPage="1"/>
  </sheetPr>
  <dimension ref="B2:O57"/>
  <sheetViews>
    <sheetView topLeftCell="A13" workbookViewId="0">
      <selection activeCell="K28" sqref="K28"/>
    </sheetView>
  </sheetViews>
  <sheetFormatPr defaultRowHeight="15" x14ac:dyDescent="0.25"/>
  <cols>
    <col min="1" max="1" width="3.7109375" style="714" customWidth="1"/>
    <col min="2" max="2" width="6.5703125" style="714" customWidth="1"/>
    <col min="3" max="3" width="2.5703125" style="714" bestFit="1" customWidth="1"/>
    <col min="4" max="4" width="3.42578125" style="714" customWidth="1"/>
    <col min="5" max="5" width="8" style="714" customWidth="1"/>
    <col min="6" max="6" width="13.28515625" style="714" customWidth="1"/>
    <col min="7" max="7" width="3.7109375" style="714" customWidth="1"/>
    <col min="8" max="8" width="7.7109375" style="714" customWidth="1"/>
    <col min="9" max="9" width="7.42578125" style="714" customWidth="1"/>
    <col min="10" max="10" width="11.140625" style="714" customWidth="1"/>
    <col min="11" max="11" width="15.28515625" style="714" customWidth="1"/>
    <col min="12" max="12" width="11" style="714" customWidth="1"/>
    <col min="13" max="13" width="3.7109375" style="714" customWidth="1"/>
    <col min="14" max="16384" width="9.140625" style="714"/>
  </cols>
  <sheetData>
    <row r="2" spans="2:12" ht="22.5" customHeight="1" x14ac:dyDescent="0.25">
      <c r="B2" s="1060" t="s">
        <v>586</v>
      </c>
      <c r="C2" s="1060"/>
      <c r="D2" s="1060"/>
      <c r="E2" s="1060"/>
      <c r="F2" s="1060"/>
      <c r="G2" s="1060"/>
      <c r="H2" s="1060"/>
      <c r="I2" s="1060"/>
      <c r="J2" s="1060"/>
      <c r="K2" s="1060"/>
      <c r="L2" s="1060"/>
    </row>
    <row r="3" spans="2:12" ht="23.25" customHeight="1" x14ac:dyDescent="0.25">
      <c r="B3" s="1060" t="s">
        <v>669</v>
      </c>
      <c r="C3" s="1060"/>
      <c r="D3" s="1060"/>
      <c r="E3" s="1060"/>
      <c r="F3" s="1060"/>
      <c r="G3" s="1060"/>
      <c r="H3" s="1060"/>
      <c r="I3" s="1060"/>
      <c r="J3" s="1060"/>
      <c r="K3" s="1060"/>
      <c r="L3" s="1060"/>
    </row>
    <row r="5" spans="2:12" ht="18.75" customHeight="1" x14ac:dyDescent="0.25"/>
    <row r="6" spans="2:12" ht="18" customHeight="1" x14ac:dyDescent="0.25">
      <c r="B6" s="1059" t="s">
        <v>587</v>
      </c>
      <c r="C6" s="1059"/>
      <c r="D6" s="1059"/>
      <c r="E6" s="1061">
        <f>'DATA AWAL NASABAH'!B1</f>
        <v>45986</v>
      </c>
      <c r="F6" s="1061"/>
      <c r="G6" s="1061"/>
      <c r="H6" s="1062" t="s">
        <v>588</v>
      </c>
      <c r="I6" s="1062"/>
      <c r="J6" s="1062"/>
      <c r="K6" s="1062"/>
      <c r="L6" s="1062"/>
    </row>
    <row r="7" spans="2:12" ht="18" customHeight="1" x14ac:dyDescent="0.25">
      <c r="B7" s="1059" t="s">
        <v>613</v>
      </c>
      <c r="C7" s="1059"/>
      <c r="D7" s="1059"/>
      <c r="E7" s="1059"/>
      <c r="F7" s="1059"/>
      <c r="G7" s="1059"/>
      <c r="H7" s="1059"/>
      <c r="I7" s="1059"/>
      <c r="J7" s="1059"/>
      <c r="K7" s="1059"/>
      <c r="L7" s="1059"/>
    </row>
    <row r="8" spans="2:12" ht="18" customHeight="1" x14ac:dyDescent="0.25"/>
    <row r="9" spans="2:12" ht="18" customHeight="1" x14ac:dyDescent="0.25">
      <c r="B9" s="714" t="s">
        <v>589</v>
      </c>
    </row>
    <row r="10" spans="2:12" ht="8.25" customHeight="1" x14ac:dyDescent="0.25"/>
    <row r="11" spans="2:12" ht="27" customHeight="1" x14ac:dyDescent="0.25">
      <c r="B11" s="714" t="s">
        <v>269</v>
      </c>
      <c r="E11" s="715" t="s">
        <v>63</v>
      </c>
      <c r="F11" s="1064" t="str">
        <f>'DATA AWAL NASABAH'!B2</f>
        <v>DYAH RETNO SULISTYOWATI</v>
      </c>
      <c r="G11" s="1064"/>
      <c r="H11" s="1064"/>
      <c r="I11" s="1064"/>
      <c r="J11" s="1064"/>
      <c r="K11" s="1064"/>
    </row>
    <row r="12" spans="2:12" ht="27" customHeight="1" x14ac:dyDescent="0.25">
      <c r="B12" s="714" t="s">
        <v>590</v>
      </c>
      <c r="E12" s="715" t="s">
        <v>63</v>
      </c>
      <c r="F12" s="1064" t="str">
        <f>'DATA AWAL NASABAH'!B26</f>
        <v>PERDAGANGAN</v>
      </c>
      <c r="G12" s="1064"/>
      <c r="H12" s="1064"/>
      <c r="I12" s="1064"/>
      <c r="J12" s="1064"/>
      <c r="K12" s="1064"/>
    </row>
    <row r="13" spans="2:12" ht="27" customHeight="1" x14ac:dyDescent="0.25">
      <c r="B13" s="714" t="s">
        <v>77</v>
      </c>
      <c r="E13" s="715" t="s">
        <v>63</v>
      </c>
      <c r="F13" s="1064" t="str">
        <f>'DATA AWAL NASABAH'!B10</f>
        <v>TOSARI REJO 001/006 JARAKSARI WONOSOBO</v>
      </c>
      <c r="G13" s="1064"/>
      <c r="H13" s="1064"/>
      <c r="I13" s="1064"/>
      <c r="J13" s="1064"/>
      <c r="K13" s="1064"/>
    </row>
    <row r="14" spans="2:12" ht="27" customHeight="1" x14ac:dyDescent="0.25">
      <c r="B14" s="714" t="s">
        <v>591</v>
      </c>
      <c r="E14" s="715" t="s">
        <v>63</v>
      </c>
      <c r="F14" s="1065" t="str">
        <f>'DATA AWAL NASABAH'!B16</f>
        <v>3307095904780003</v>
      </c>
      <c r="G14" s="1064"/>
      <c r="H14" s="1064"/>
      <c r="I14" s="1064"/>
      <c r="J14" s="1064"/>
      <c r="K14" s="1064"/>
    </row>
    <row r="15" spans="2:12" ht="16.5" customHeight="1" x14ac:dyDescent="0.25"/>
    <row r="16" spans="2:12" ht="15.95" customHeight="1" x14ac:dyDescent="0.25">
      <c r="B16" s="714" t="s">
        <v>592</v>
      </c>
    </row>
    <row r="17" spans="3:12" ht="15.95" customHeight="1" x14ac:dyDescent="0.25"/>
    <row r="18" spans="3:12" ht="15.95" customHeight="1" x14ac:dyDescent="0.25">
      <c r="C18" s="716" t="s">
        <v>218</v>
      </c>
      <c r="D18" s="1066" t="s">
        <v>614</v>
      </c>
      <c r="E18" s="1066"/>
      <c r="F18" s="1066"/>
      <c r="G18" s="1066"/>
      <c r="H18" s="1066"/>
      <c r="I18" s="1066"/>
      <c r="J18" s="1066"/>
      <c r="K18" s="1066"/>
      <c r="L18" s="1066"/>
    </row>
    <row r="19" spans="3:12" ht="15.95" customHeight="1" x14ac:dyDescent="0.25">
      <c r="D19" s="1066"/>
      <c r="E19" s="1066"/>
      <c r="F19" s="1066"/>
      <c r="G19" s="1066"/>
      <c r="H19" s="1066"/>
      <c r="I19" s="1066"/>
      <c r="J19" s="1066"/>
      <c r="K19" s="1066"/>
      <c r="L19" s="1066"/>
    </row>
    <row r="20" spans="3:12" ht="18" customHeight="1" x14ac:dyDescent="0.25">
      <c r="D20" s="714" t="s">
        <v>593</v>
      </c>
      <c r="E20" s="714" t="s">
        <v>594</v>
      </c>
      <c r="G20" s="717" t="s">
        <v>63</v>
      </c>
      <c r="H20" s="1067">
        <f>'DATA AWAL NASABAH'!B18</f>
        <v>2000000000</v>
      </c>
      <c r="I20" s="1067"/>
      <c r="J20" s="677"/>
      <c r="K20" s="677"/>
    </row>
    <row r="21" spans="3:12" ht="18" customHeight="1" x14ac:dyDescent="0.25">
      <c r="D21" s="714" t="s">
        <v>595</v>
      </c>
      <c r="E21" s="714" t="s">
        <v>596</v>
      </c>
      <c r="G21" s="717" t="s">
        <v>63</v>
      </c>
      <c r="H21" s="677">
        <f>'DATA AWAL NASABAH'!B19</f>
        <v>12</v>
      </c>
      <c r="I21" s="677" t="s">
        <v>567</v>
      </c>
      <c r="J21" s="677"/>
      <c r="K21" s="677"/>
    </row>
    <row r="22" spans="3:12" ht="18" customHeight="1" x14ac:dyDescent="0.25">
      <c r="D22" s="714" t="s">
        <v>597</v>
      </c>
      <c r="E22" s="714" t="s">
        <v>598</v>
      </c>
      <c r="G22" s="717" t="s">
        <v>63</v>
      </c>
      <c r="H22" s="678">
        <f>'DATA AWAL NASABAH'!B20</f>
        <v>1.4999999999999999E-2</v>
      </c>
      <c r="I22" s="677" t="s">
        <v>680</v>
      </c>
      <c r="J22" s="677"/>
      <c r="K22" s="677"/>
    </row>
    <row r="23" spans="3:12" ht="18" customHeight="1" x14ac:dyDescent="0.25">
      <c r="D23" s="714" t="s">
        <v>599</v>
      </c>
      <c r="E23" s="714" t="s">
        <v>600</v>
      </c>
      <c r="G23" s="717" t="s">
        <v>63</v>
      </c>
      <c r="H23" s="1064" t="s">
        <v>670</v>
      </c>
      <c r="I23" s="1064"/>
      <c r="J23" s="1064"/>
      <c r="K23" s="677"/>
    </row>
    <row r="24" spans="3:12" ht="18" customHeight="1" x14ac:dyDescent="0.25">
      <c r="D24" s="714" t="s">
        <v>601</v>
      </c>
      <c r="E24" s="714" t="s">
        <v>199</v>
      </c>
      <c r="G24" s="717" t="s">
        <v>63</v>
      </c>
      <c r="H24" s="730" t="str">
        <f>'DATA AWAL NASABAH'!B29</f>
        <v>INVESTASI PEMBELIAN TANAH</v>
      </c>
      <c r="I24" s="730"/>
      <c r="J24" s="730"/>
      <c r="K24" s="677"/>
    </row>
    <row r="25" spans="3:12" ht="18" customHeight="1" x14ac:dyDescent="0.25">
      <c r="D25" s="714" t="s">
        <v>601</v>
      </c>
      <c r="E25" s="714" t="s">
        <v>602</v>
      </c>
      <c r="G25" s="717" t="s">
        <v>63</v>
      </c>
      <c r="H25" s="730" t="s">
        <v>767</v>
      </c>
      <c r="I25" s="677"/>
      <c r="J25" s="677"/>
      <c r="K25" s="677"/>
    </row>
    <row r="26" spans="3:12" ht="18" customHeight="1" x14ac:dyDescent="0.25">
      <c r="F26" s="714" t="s">
        <v>603</v>
      </c>
    </row>
    <row r="27" spans="3:12" ht="18" customHeight="1" x14ac:dyDescent="0.25">
      <c r="F27" s="714" t="s">
        <v>604</v>
      </c>
    </row>
    <row r="28" spans="3:12" ht="18" customHeight="1" x14ac:dyDescent="0.25">
      <c r="F28" s="714" t="s">
        <v>605</v>
      </c>
    </row>
    <row r="29" spans="3:12" ht="15" customHeight="1" x14ac:dyDescent="0.25">
      <c r="C29" s="716" t="s">
        <v>366</v>
      </c>
      <c r="D29" s="1066" t="s">
        <v>615</v>
      </c>
      <c r="E29" s="1066"/>
      <c r="F29" s="1066"/>
      <c r="G29" s="1066"/>
      <c r="H29" s="1066"/>
      <c r="I29" s="1066"/>
      <c r="J29" s="1066"/>
      <c r="K29" s="1066"/>
      <c r="L29" s="1066"/>
    </row>
    <row r="30" spans="3:12" ht="15" customHeight="1" x14ac:dyDescent="0.25">
      <c r="D30" s="1066"/>
      <c r="E30" s="1066"/>
      <c r="F30" s="1066"/>
      <c r="G30" s="1066"/>
      <c r="H30" s="1066"/>
      <c r="I30" s="1066"/>
      <c r="J30" s="1066"/>
      <c r="K30" s="1066"/>
      <c r="L30" s="1066"/>
    </row>
    <row r="31" spans="3:12" ht="15" customHeight="1" x14ac:dyDescent="0.25">
      <c r="D31" s="1066"/>
      <c r="E31" s="1066"/>
      <c r="F31" s="1066"/>
      <c r="G31" s="1066"/>
      <c r="H31" s="1066"/>
      <c r="I31" s="1066"/>
      <c r="J31" s="1066"/>
      <c r="K31" s="1066"/>
      <c r="L31" s="1066"/>
    </row>
    <row r="32" spans="3:12" ht="15" customHeight="1" x14ac:dyDescent="0.25">
      <c r="C32" s="716" t="s">
        <v>367</v>
      </c>
      <c r="D32" s="1066" t="s">
        <v>616</v>
      </c>
      <c r="E32" s="1066"/>
      <c r="F32" s="1066"/>
      <c r="G32" s="1066"/>
      <c r="H32" s="1066"/>
      <c r="I32" s="1066"/>
      <c r="J32" s="1066"/>
      <c r="K32" s="1066"/>
      <c r="L32" s="1066"/>
    </row>
    <row r="33" spans="2:12" ht="15" customHeight="1" x14ac:dyDescent="0.25">
      <c r="D33" s="1066"/>
      <c r="E33" s="1066"/>
      <c r="F33" s="1066"/>
      <c r="G33" s="1066"/>
      <c r="H33" s="1066"/>
      <c r="I33" s="1066"/>
      <c r="J33" s="1066"/>
      <c r="K33" s="1066"/>
      <c r="L33" s="1066"/>
    </row>
    <row r="34" spans="2:12" ht="15" customHeight="1" x14ac:dyDescent="0.25">
      <c r="D34" s="1066"/>
      <c r="E34" s="1066"/>
      <c r="F34" s="1066"/>
      <c r="G34" s="1066"/>
      <c r="H34" s="1066"/>
      <c r="I34" s="1066"/>
      <c r="J34" s="1066"/>
      <c r="K34" s="1066"/>
      <c r="L34" s="1066"/>
    </row>
    <row r="35" spans="2:12" ht="15" customHeight="1" x14ac:dyDescent="0.25">
      <c r="D35" s="1066"/>
      <c r="E35" s="1066"/>
      <c r="F35" s="1066"/>
      <c r="G35" s="1066"/>
      <c r="H35" s="1066"/>
      <c r="I35" s="1066"/>
      <c r="J35" s="1066"/>
      <c r="K35" s="1066"/>
      <c r="L35" s="1066"/>
    </row>
    <row r="36" spans="2:12" ht="18" customHeight="1" x14ac:dyDescent="0.25"/>
    <row r="37" spans="2:12" ht="18" customHeight="1" x14ac:dyDescent="0.25">
      <c r="B37" s="1068" t="s">
        <v>606</v>
      </c>
      <c r="C37" s="1068"/>
      <c r="D37" s="1068"/>
      <c r="E37" s="1068"/>
      <c r="F37" s="1068"/>
      <c r="G37" s="1068"/>
      <c r="H37" s="1068"/>
      <c r="I37" s="1068"/>
      <c r="J37" s="1068"/>
      <c r="K37" s="1068"/>
      <c r="L37" s="1068"/>
    </row>
    <row r="38" spans="2:12" ht="18" customHeight="1" x14ac:dyDescent="0.25">
      <c r="B38" s="1068"/>
      <c r="C38" s="1068"/>
      <c r="D38" s="1068"/>
      <c r="E38" s="1068"/>
      <c r="F38" s="1068"/>
      <c r="G38" s="1068"/>
      <c r="H38" s="1068"/>
      <c r="I38" s="1068"/>
      <c r="J38" s="1068"/>
      <c r="K38" s="1068"/>
      <c r="L38" s="1068"/>
    </row>
    <row r="39" spans="2:12" ht="13.5" customHeight="1" x14ac:dyDescent="0.25">
      <c r="B39" s="718"/>
      <c r="C39" s="718"/>
      <c r="D39" s="718"/>
      <c r="E39" s="718"/>
      <c r="F39" s="718"/>
      <c r="G39" s="718"/>
      <c r="H39" s="718"/>
      <c r="I39" s="718"/>
      <c r="J39" s="718"/>
      <c r="K39" s="718"/>
      <c r="L39" s="718"/>
    </row>
    <row r="40" spans="2:12" x14ac:dyDescent="0.25">
      <c r="J40" s="714" t="s">
        <v>607</v>
      </c>
      <c r="K40" s="1069">
        <f>E6</f>
        <v>45986</v>
      </c>
      <c r="L40" s="1063"/>
    </row>
    <row r="41" spans="2:12" x14ac:dyDescent="0.25">
      <c r="J41" s="1063" t="s">
        <v>608</v>
      </c>
      <c r="K41" s="1063"/>
      <c r="L41" s="1063"/>
    </row>
    <row r="45" spans="2:12" x14ac:dyDescent="0.25">
      <c r="J45" s="1063" t="s">
        <v>609</v>
      </c>
      <c r="K45" s="1063"/>
      <c r="L45" s="1063"/>
    </row>
    <row r="46" spans="2:12" ht="24.95" customHeight="1" x14ac:dyDescent="0.25">
      <c r="B46" s="714" t="s">
        <v>610</v>
      </c>
      <c r="D46" s="714" t="s">
        <v>63</v>
      </c>
    </row>
    <row r="47" spans="2:12" ht="24.95" customHeight="1" x14ac:dyDescent="0.25">
      <c r="B47" s="714" t="s">
        <v>336</v>
      </c>
      <c r="F47" s="1064" t="s">
        <v>611</v>
      </c>
      <c r="G47" s="1064"/>
      <c r="H47" s="1064"/>
      <c r="I47" s="693"/>
    </row>
    <row r="48" spans="2:12" ht="24.95" customHeight="1" x14ac:dyDescent="0.25">
      <c r="B48" s="714" t="s">
        <v>716</v>
      </c>
      <c r="F48" s="1064" t="s">
        <v>611</v>
      </c>
      <c r="G48" s="1064"/>
      <c r="H48" s="1064"/>
      <c r="I48" s="693"/>
    </row>
    <row r="49" spans="2:15" ht="24.95" customHeight="1" x14ac:dyDescent="0.25">
      <c r="B49" s="714" t="s">
        <v>715</v>
      </c>
      <c r="F49" s="1064" t="s">
        <v>611</v>
      </c>
      <c r="G49" s="1064"/>
      <c r="H49" s="1064"/>
      <c r="I49" s="693"/>
    </row>
    <row r="50" spans="2:15" ht="24.95" customHeight="1" x14ac:dyDescent="0.25">
      <c r="B50" s="714" t="s">
        <v>582</v>
      </c>
      <c r="F50" s="1064" t="s">
        <v>611</v>
      </c>
      <c r="G50" s="1064"/>
      <c r="H50" s="1064"/>
      <c r="I50" s="814"/>
    </row>
    <row r="51" spans="2:15" ht="24.95" customHeight="1" x14ac:dyDescent="0.25">
      <c r="B51" s="714" t="s">
        <v>511</v>
      </c>
      <c r="F51" s="1064" t="s">
        <v>611</v>
      </c>
      <c r="G51" s="1064"/>
      <c r="H51" s="1064"/>
      <c r="I51" s="693"/>
    </row>
    <row r="52" spans="2:15" ht="24.95" customHeight="1" x14ac:dyDescent="0.25"/>
    <row r="53" spans="2:15" ht="24.95" customHeight="1" x14ac:dyDescent="0.25">
      <c r="O53" s="714">
        <f>2022-1971</f>
        <v>51</v>
      </c>
    </row>
    <row r="54" spans="2:15" ht="24.95" customHeight="1" x14ac:dyDescent="0.25"/>
    <row r="55" spans="2:15" ht="24.95" customHeight="1" x14ac:dyDescent="0.25"/>
    <row r="56" spans="2:15" ht="24.95" customHeight="1" x14ac:dyDescent="0.25"/>
    <row r="57" spans="2:15" ht="24.95" customHeight="1" x14ac:dyDescent="0.25"/>
  </sheetData>
  <mergeCells count="24">
    <mergeCell ref="J45:L45"/>
    <mergeCell ref="F47:H47"/>
    <mergeCell ref="F48:H48"/>
    <mergeCell ref="F49:H49"/>
    <mergeCell ref="F51:H51"/>
    <mergeCell ref="F50:H50"/>
    <mergeCell ref="J41:L41"/>
    <mergeCell ref="F11:K11"/>
    <mergeCell ref="F12:K12"/>
    <mergeCell ref="F13:K13"/>
    <mergeCell ref="F14:K14"/>
    <mergeCell ref="D18:L19"/>
    <mergeCell ref="H20:I20"/>
    <mergeCell ref="H23:J23"/>
    <mergeCell ref="D29:L31"/>
    <mergeCell ref="D32:L35"/>
    <mergeCell ref="B37:L38"/>
    <mergeCell ref="K40:L40"/>
    <mergeCell ref="B7:L7"/>
    <mergeCell ref="B2:L2"/>
    <mergeCell ref="B3:L3"/>
    <mergeCell ref="B6:D6"/>
    <mergeCell ref="E6:G6"/>
    <mergeCell ref="H6:L6"/>
  </mergeCells>
  <pageMargins left="0.7" right="0.7" top="0.75" bottom="0.75" header="0.3" footer="0.3"/>
  <pageSetup paperSize="10000" scale="8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9"/>
  <sheetViews>
    <sheetView workbookViewId="0">
      <selection activeCell="H41" sqref="H40:H41"/>
    </sheetView>
  </sheetViews>
  <sheetFormatPr defaultColWidth="8.85546875" defaultRowHeight="16.5" x14ac:dyDescent="0.3"/>
  <cols>
    <col min="1" max="1" width="26.5703125" style="48" customWidth="1"/>
    <col min="2" max="2" width="1.7109375" style="48" customWidth="1"/>
    <col min="3" max="3" width="23.140625" style="48" customWidth="1"/>
    <col min="4" max="4" width="1.28515625" style="48" customWidth="1"/>
    <col min="5" max="5" width="23.7109375" style="48" customWidth="1"/>
    <col min="6" max="6" width="1.28515625" style="48" customWidth="1"/>
    <col min="7" max="7" width="23.140625" style="48" customWidth="1"/>
    <col min="8" max="16384" width="8.85546875" style="48"/>
  </cols>
  <sheetData>
    <row r="1" spans="1:7" ht="18.75" x14ac:dyDescent="0.3">
      <c r="A1" s="876" t="s">
        <v>0</v>
      </c>
      <c r="B1" s="876"/>
      <c r="C1" s="876"/>
      <c r="D1" s="876"/>
      <c r="E1" s="876"/>
      <c r="F1" s="876"/>
      <c r="G1" s="876"/>
    </row>
    <row r="2" spans="1:7" ht="18.75" x14ac:dyDescent="0.3">
      <c r="A2" s="876" t="s">
        <v>123</v>
      </c>
      <c r="B2" s="876"/>
      <c r="C2" s="876"/>
      <c r="D2" s="876"/>
      <c r="E2" s="876"/>
      <c r="F2" s="876"/>
      <c r="G2" s="876"/>
    </row>
    <row r="3" spans="1:7" x14ac:dyDescent="0.3">
      <c r="A3" s="3"/>
      <c r="B3" s="3"/>
      <c r="C3" s="3"/>
      <c r="D3" s="3"/>
      <c r="E3" s="3"/>
      <c r="F3" s="3"/>
      <c r="G3" s="3"/>
    </row>
    <row r="4" spans="1:7" x14ac:dyDescent="0.3">
      <c r="A4" s="3" t="s">
        <v>16</v>
      </c>
      <c r="B4" s="3" t="s">
        <v>63</v>
      </c>
      <c r="C4" s="4" t="str">
        <f>'DATA AWAL NASABAH'!B2</f>
        <v>DYAH RETNO SULISTYOWATI</v>
      </c>
      <c r="D4" s="4"/>
      <c r="E4" s="5"/>
      <c r="F4" s="2"/>
      <c r="G4" s="2"/>
    </row>
    <row r="5" spans="1:7" x14ac:dyDescent="0.3">
      <c r="A5" s="3" t="s">
        <v>17</v>
      </c>
      <c r="B5" s="3" t="s">
        <v>63</v>
      </c>
      <c r="C5" s="6" t="str">
        <f>'DATA AWAL NASABAH'!B15</f>
        <v>0811261088</v>
      </c>
      <c r="D5" s="6"/>
      <c r="E5" s="7"/>
      <c r="F5" s="2"/>
      <c r="G5" s="2"/>
    </row>
    <row r="6" spans="1:7" x14ac:dyDescent="0.3">
      <c r="A6" s="8" t="s">
        <v>18</v>
      </c>
      <c r="B6" s="3" t="s">
        <v>63</v>
      </c>
      <c r="C6" s="9">
        <f>'DATA AWAL NASABAH'!B1</f>
        <v>45986</v>
      </c>
      <c r="D6" s="10"/>
      <c r="E6" s="7"/>
      <c r="F6" s="2"/>
      <c r="G6" s="3"/>
    </row>
    <row r="7" spans="1:7" x14ac:dyDescent="0.3">
      <c r="A7" s="3" t="s">
        <v>19</v>
      </c>
      <c r="B7" s="3" t="s">
        <v>63</v>
      </c>
      <c r="C7" s="45"/>
      <c r="D7" s="45"/>
      <c r="E7" s="45"/>
      <c r="F7" s="2"/>
      <c r="G7" s="3"/>
    </row>
    <row r="9" spans="1:7" x14ac:dyDescent="0.3">
      <c r="A9" s="3" t="s">
        <v>94</v>
      </c>
    </row>
    <row r="10" spans="1:7" x14ac:dyDescent="0.3">
      <c r="A10" s="3" t="s">
        <v>108</v>
      </c>
      <c r="B10" s="3" t="s">
        <v>63</v>
      </c>
      <c r="C10" s="14"/>
      <c r="D10" s="50"/>
      <c r="E10" s="50"/>
      <c r="F10" s="50"/>
      <c r="G10" s="50"/>
    </row>
    <row r="11" spans="1:7" x14ac:dyDescent="0.3">
      <c r="A11" s="13" t="s">
        <v>91</v>
      </c>
      <c r="B11" s="3" t="s">
        <v>63</v>
      </c>
      <c r="C11" s="14"/>
      <c r="D11" s="50"/>
      <c r="E11" s="50"/>
      <c r="F11" s="50"/>
      <c r="G11" s="50"/>
    </row>
    <row r="12" spans="1:7" x14ac:dyDescent="0.3">
      <c r="A12" s="13" t="s">
        <v>87</v>
      </c>
      <c r="B12" s="3" t="s">
        <v>63</v>
      </c>
      <c r="C12" s="14"/>
      <c r="E12" s="11" t="s">
        <v>22</v>
      </c>
      <c r="F12" s="3" t="s">
        <v>63</v>
      </c>
      <c r="G12" s="14"/>
    </row>
    <row r="13" spans="1:7" x14ac:dyDescent="0.3">
      <c r="A13" s="13" t="s">
        <v>88</v>
      </c>
      <c r="B13" s="3" t="s">
        <v>63</v>
      </c>
      <c r="C13" s="14"/>
      <c r="E13" s="13" t="s">
        <v>21</v>
      </c>
      <c r="F13" s="3" t="s">
        <v>63</v>
      </c>
      <c r="G13" s="14"/>
    </row>
    <row r="14" spans="1:7" x14ac:dyDescent="0.3">
      <c r="A14" s="51" t="s">
        <v>114</v>
      </c>
      <c r="B14" s="3" t="s">
        <v>63</v>
      </c>
      <c r="C14" s="14"/>
      <c r="E14" s="13" t="s">
        <v>89</v>
      </c>
      <c r="F14" s="3" t="s">
        <v>63</v>
      </c>
      <c r="G14" s="14"/>
    </row>
    <row r="15" spans="1:7" x14ac:dyDescent="0.3">
      <c r="A15" s="51" t="s">
        <v>115</v>
      </c>
      <c r="B15" s="3" t="s">
        <v>63</v>
      </c>
      <c r="C15" s="14"/>
      <c r="E15" s="51" t="s">
        <v>116</v>
      </c>
      <c r="F15" s="3" t="s">
        <v>63</v>
      </c>
      <c r="G15" s="14"/>
    </row>
    <row r="16" spans="1:7" x14ac:dyDescent="0.3">
      <c r="A16" s="51" t="s">
        <v>121</v>
      </c>
      <c r="B16" s="3" t="s">
        <v>63</v>
      </c>
      <c r="C16" s="14"/>
      <c r="E16" s="51" t="s">
        <v>122</v>
      </c>
      <c r="F16" s="3" t="s">
        <v>63</v>
      </c>
      <c r="G16" s="14"/>
    </row>
    <row r="17" spans="1:11" x14ac:dyDescent="0.3">
      <c r="A17" s="51" t="s">
        <v>117</v>
      </c>
      <c r="B17" s="3" t="s">
        <v>63</v>
      </c>
      <c r="C17" s="14"/>
      <c r="E17" s="51" t="s">
        <v>118</v>
      </c>
      <c r="F17" s="3" t="s">
        <v>63</v>
      </c>
      <c r="G17" s="14"/>
    </row>
    <row r="18" spans="1:11" x14ac:dyDescent="0.3">
      <c r="A18" s="51" t="s">
        <v>119</v>
      </c>
      <c r="B18" s="3" t="s">
        <v>63</v>
      </c>
      <c r="C18" s="14"/>
      <c r="E18" s="51" t="s">
        <v>120</v>
      </c>
      <c r="F18" s="3" t="s">
        <v>63</v>
      </c>
      <c r="G18" s="14"/>
    </row>
    <row r="20" spans="1:11" s="26" customFormat="1" ht="12.75" x14ac:dyDescent="0.2">
      <c r="A20" s="23" t="s">
        <v>62</v>
      </c>
      <c r="B20" s="23"/>
      <c r="C20" s="23"/>
      <c r="D20" s="23"/>
      <c r="E20" s="23"/>
      <c r="F20" s="24"/>
      <c r="G20" s="25"/>
      <c r="H20" s="23"/>
      <c r="I20" s="23"/>
      <c r="J20" s="23"/>
      <c r="K20" s="23"/>
    </row>
    <row r="21" spans="1:11" s="2" customFormat="1" ht="13.5" x14ac:dyDescent="0.25">
      <c r="A21" s="1070" t="s">
        <v>125</v>
      </c>
      <c r="B21" s="868"/>
      <c r="C21" s="868"/>
      <c r="D21" s="868"/>
      <c r="E21" s="868"/>
      <c r="F21" s="868"/>
      <c r="G21" s="869"/>
      <c r="H21" s="3"/>
      <c r="I21" s="3"/>
      <c r="J21" s="3"/>
      <c r="K21" s="3"/>
    </row>
    <row r="22" spans="1:11" s="2" customFormat="1" ht="13.5" x14ac:dyDescent="0.25">
      <c r="A22" s="870"/>
      <c r="B22" s="871"/>
      <c r="C22" s="871"/>
      <c r="D22" s="871"/>
      <c r="E22" s="871"/>
      <c r="F22" s="871"/>
      <c r="G22" s="872"/>
      <c r="H22" s="28"/>
      <c r="I22" s="28"/>
      <c r="J22" s="28"/>
      <c r="K22" s="28"/>
    </row>
    <row r="23" spans="1:11" s="2" customFormat="1" ht="13.5" x14ac:dyDescent="0.25">
      <c r="A23" s="870"/>
      <c r="B23" s="871"/>
      <c r="C23" s="871"/>
      <c r="D23" s="871"/>
      <c r="E23" s="871"/>
      <c r="F23" s="871"/>
      <c r="G23" s="872"/>
      <c r="H23" s="28"/>
      <c r="I23" s="28"/>
      <c r="J23" s="28"/>
      <c r="K23" s="28"/>
    </row>
    <row r="24" spans="1:11" s="2" customFormat="1" ht="13.5" x14ac:dyDescent="0.25">
      <c r="A24" s="870"/>
      <c r="B24" s="871"/>
      <c r="C24" s="871"/>
      <c r="D24" s="871"/>
      <c r="E24" s="871"/>
      <c r="F24" s="871"/>
      <c r="G24" s="872"/>
      <c r="H24" s="28"/>
      <c r="I24" s="28"/>
      <c r="J24" s="28"/>
      <c r="K24" s="28"/>
    </row>
    <row r="25" spans="1:11" s="2" customFormat="1" ht="13.5" x14ac:dyDescent="0.25">
      <c r="A25" s="873"/>
      <c r="B25" s="874"/>
      <c r="C25" s="874"/>
      <c r="D25" s="874"/>
      <c r="E25" s="874"/>
      <c r="F25" s="874"/>
      <c r="G25" s="875"/>
      <c r="H25" s="28"/>
      <c r="I25" s="28"/>
      <c r="J25" s="28"/>
      <c r="K25" s="28"/>
    </row>
    <row r="27" spans="1:11" s="2" customFormat="1" ht="13.5" x14ac:dyDescent="0.25">
      <c r="A27" s="29" t="s">
        <v>2</v>
      </c>
      <c r="B27" s="385"/>
      <c r="C27" s="29" t="s">
        <v>3</v>
      </c>
      <c r="D27" s="385"/>
      <c r="E27" s="31" t="s">
        <v>4</v>
      </c>
      <c r="F27" s="32"/>
      <c r="G27" s="31" t="s">
        <v>4</v>
      </c>
      <c r="H27" s="11"/>
      <c r="I27" s="11"/>
    </row>
    <row r="28" spans="1:11" s="2" customFormat="1" ht="13.5" x14ac:dyDescent="0.25">
      <c r="A28" s="29"/>
      <c r="B28" s="385"/>
      <c r="C28" s="29"/>
      <c r="D28" s="385"/>
      <c r="E28" s="33"/>
      <c r="F28" s="32"/>
      <c r="G28" s="33"/>
      <c r="H28" s="11"/>
      <c r="I28" s="11"/>
    </row>
    <row r="29" spans="1:11" s="2" customFormat="1" ht="13.5" x14ac:dyDescent="0.25">
      <c r="A29" s="33"/>
      <c r="B29" s="385"/>
      <c r="C29" s="33"/>
      <c r="D29" s="385"/>
      <c r="E29" s="33"/>
      <c r="F29" s="32"/>
      <c r="G29" s="33"/>
      <c r="H29" s="11"/>
      <c r="I29" s="11"/>
    </row>
    <row r="30" spans="1:11" s="2" customFormat="1" ht="13.5" x14ac:dyDescent="0.25">
      <c r="A30" s="33"/>
      <c r="B30" s="385"/>
      <c r="C30" s="33"/>
      <c r="D30" s="385"/>
      <c r="E30" s="33"/>
      <c r="F30" s="32"/>
      <c r="G30" s="33"/>
      <c r="H30" s="11"/>
      <c r="I30" s="11"/>
    </row>
    <row r="31" spans="1:11" s="2" customFormat="1" ht="13.5" x14ac:dyDescent="0.25">
      <c r="A31" s="181" t="str">
        <f>'DATA AWAL NASABAH'!B30</f>
        <v>ADRIAN WAHYU P</v>
      </c>
      <c r="B31" s="385"/>
      <c r="C31" s="181" t="s">
        <v>506</v>
      </c>
      <c r="D31" s="385"/>
      <c r="E31" s="181" t="s">
        <v>507</v>
      </c>
      <c r="F31" s="32"/>
      <c r="G31" s="181" t="s">
        <v>504</v>
      </c>
      <c r="H31" s="11"/>
      <c r="I31" s="11"/>
    </row>
    <row r="32" spans="1:11" s="2" customFormat="1" ht="13.5" x14ac:dyDescent="0.25">
      <c r="A32" s="34" t="s">
        <v>8</v>
      </c>
      <c r="B32" s="385"/>
      <c r="C32" s="34" t="s">
        <v>9</v>
      </c>
      <c r="D32" s="385"/>
      <c r="E32" s="34" t="s">
        <v>10</v>
      </c>
      <c r="F32" s="32"/>
      <c r="G32" s="207" t="s">
        <v>500</v>
      </c>
      <c r="H32" s="11"/>
      <c r="I32" s="11"/>
    </row>
    <row r="33" spans="1:11" s="2" customFormat="1" ht="13.5" x14ac:dyDescent="0.25">
      <c r="A33" s="385"/>
      <c r="B33" s="385"/>
      <c r="C33" s="385"/>
      <c r="D33" s="385"/>
      <c r="E33" s="385"/>
      <c r="F33" s="385"/>
      <c r="G33" s="385"/>
      <c r="H33" s="35"/>
      <c r="I33" s="35"/>
      <c r="J33" s="35"/>
      <c r="K33" s="35"/>
    </row>
    <row r="34" spans="1:11" s="2" customFormat="1" ht="13.5" x14ac:dyDescent="0.25">
      <c r="A34" s="36" t="s">
        <v>4</v>
      </c>
      <c r="B34" s="12"/>
      <c r="C34" s="385"/>
      <c r="D34" s="386"/>
      <c r="E34" s="385"/>
      <c r="F34" s="386"/>
      <c r="G34" s="385"/>
      <c r="H34" s="38"/>
      <c r="I34" s="39"/>
      <c r="J34" s="40" t="s">
        <v>4</v>
      </c>
      <c r="K34" s="40"/>
    </row>
    <row r="35" spans="1:11" s="2" customFormat="1" ht="13.5" x14ac:dyDescent="0.25">
      <c r="A35" s="41"/>
      <c r="B35" s="32"/>
      <c r="C35" s="385"/>
      <c r="D35" s="386"/>
      <c r="E35" s="385"/>
      <c r="F35" s="386"/>
      <c r="G35" s="385"/>
      <c r="H35" s="38"/>
      <c r="I35" s="39"/>
      <c r="J35" s="40"/>
      <c r="K35" s="40"/>
    </row>
    <row r="36" spans="1:11" s="2" customFormat="1" ht="13.5" x14ac:dyDescent="0.25">
      <c r="A36" s="41"/>
      <c r="B36" s="32"/>
      <c r="C36" s="385"/>
      <c r="D36" s="386"/>
      <c r="E36" s="385"/>
      <c r="F36" s="386"/>
      <c r="G36" s="385"/>
      <c r="H36" s="38"/>
      <c r="I36" s="42"/>
      <c r="J36" s="43"/>
      <c r="K36" s="43"/>
    </row>
    <row r="37" spans="1:11" s="2" customFormat="1" ht="13.5" x14ac:dyDescent="0.25">
      <c r="A37" s="41"/>
      <c r="B37" s="32"/>
      <c r="C37" s="385"/>
      <c r="D37" s="386"/>
      <c r="E37" s="385"/>
      <c r="F37" s="386"/>
      <c r="G37" s="385"/>
      <c r="H37" s="38"/>
      <c r="I37" s="42"/>
      <c r="J37" s="43"/>
      <c r="K37" s="43"/>
    </row>
    <row r="38" spans="1:11" s="2" customFormat="1" ht="13.5" x14ac:dyDescent="0.25">
      <c r="A38" s="36" t="s">
        <v>505</v>
      </c>
      <c r="B38" s="12"/>
      <c r="C38" s="385"/>
      <c r="D38" s="386"/>
      <c r="E38" s="385"/>
      <c r="F38" s="386"/>
      <c r="G38" s="385"/>
      <c r="H38" s="44"/>
      <c r="I38" s="42"/>
      <c r="J38" s="43"/>
      <c r="K38" s="43"/>
    </row>
    <row r="39" spans="1:11" s="2" customFormat="1" ht="13.5" x14ac:dyDescent="0.25">
      <c r="A39" s="36" t="s">
        <v>11</v>
      </c>
      <c r="B39" s="12"/>
      <c r="C39" s="385"/>
      <c r="D39" s="386"/>
      <c r="E39" s="385"/>
      <c r="F39" s="386"/>
      <c r="G39" s="385"/>
      <c r="H39" s="44"/>
      <c r="I39" s="39"/>
      <c r="J39" s="40" t="s">
        <v>13</v>
      </c>
      <c r="K39" s="40"/>
    </row>
  </sheetData>
  <mergeCells count="3">
    <mergeCell ref="A1:G1"/>
    <mergeCell ref="A2:G2"/>
    <mergeCell ref="A21:G25"/>
  </mergeCells>
  <pageMargins left="0.2" right="0.16" top="0.3" bottom="0.75" header="0.3" footer="0.3"/>
  <pageSetup paperSize="9" orientation="portrait" horizontalDpi="4294967293"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K51"/>
  <sheetViews>
    <sheetView topLeftCell="A20" workbookViewId="0">
      <selection activeCell="A21" sqref="A21"/>
    </sheetView>
  </sheetViews>
  <sheetFormatPr defaultRowHeight="15" x14ac:dyDescent="0.25"/>
  <cols>
    <col min="1" max="1" width="22.28515625" customWidth="1"/>
    <col min="2" max="2" width="2.7109375" customWidth="1"/>
    <col min="3" max="3" width="6" customWidth="1"/>
    <col min="4" max="4" width="19.28515625" customWidth="1"/>
    <col min="5" max="5" width="12.42578125" customWidth="1"/>
    <col min="6" max="6" width="18.5703125" customWidth="1"/>
    <col min="7" max="7" width="13.85546875" customWidth="1"/>
    <col min="8" max="8" width="18" customWidth="1"/>
    <col min="9" max="9" width="5.7109375" customWidth="1"/>
    <col min="10" max="10" width="18.140625" customWidth="1"/>
  </cols>
  <sheetData>
    <row r="2" spans="2:10" ht="18.75" x14ac:dyDescent="0.3">
      <c r="B2" s="1071" t="s">
        <v>411</v>
      </c>
      <c r="C2" s="1071"/>
      <c r="D2" s="1071"/>
      <c r="E2" s="1071"/>
      <c r="F2" s="1071"/>
      <c r="G2" s="1071"/>
      <c r="H2" s="1071"/>
    </row>
    <row r="4" spans="2:10" x14ac:dyDescent="0.25">
      <c r="C4" s="224">
        <v>1</v>
      </c>
      <c r="D4" s="190" t="s">
        <v>412</v>
      </c>
    </row>
    <row r="5" spans="2:10" x14ac:dyDescent="0.25">
      <c r="C5" s="224"/>
      <c r="D5" s="218" t="s">
        <v>413</v>
      </c>
      <c r="E5" s="218" t="s">
        <v>414</v>
      </c>
      <c r="F5" s="218" t="s">
        <v>416</v>
      </c>
      <c r="G5" s="218" t="s">
        <v>415</v>
      </c>
      <c r="J5" s="222"/>
    </row>
    <row r="6" spans="2:10" x14ac:dyDescent="0.25">
      <c r="C6" s="224"/>
      <c r="D6" s="180">
        <v>195536627</v>
      </c>
      <c r="E6" s="180">
        <v>21632143</v>
      </c>
      <c r="F6" s="180">
        <v>20979981</v>
      </c>
      <c r="G6" s="180">
        <v>37679981</v>
      </c>
      <c r="J6" s="223">
        <f>D6+E6+F6+G6</f>
        <v>275828732</v>
      </c>
    </row>
    <row r="7" spans="2:10" x14ac:dyDescent="0.25">
      <c r="C7" s="224"/>
      <c r="D7" s="180" t="s">
        <v>422</v>
      </c>
      <c r="E7" s="180">
        <f>J6/4</f>
        <v>68957183</v>
      </c>
      <c r="F7" s="180"/>
      <c r="G7" s="180"/>
      <c r="J7" s="222"/>
    </row>
    <row r="8" spans="2:10" x14ac:dyDescent="0.25">
      <c r="C8" s="224"/>
      <c r="J8" s="222"/>
    </row>
    <row r="9" spans="2:10" x14ac:dyDescent="0.25">
      <c r="C9" s="224">
        <v>2</v>
      </c>
      <c r="D9" s="190" t="s">
        <v>417</v>
      </c>
      <c r="J9" s="222"/>
    </row>
    <row r="10" spans="2:10" x14ac:dyDescent="0.25">
      <c r="C10" s="224"/>
      <c r="D10" s="218" t="s">
        <v>413</v>
      </c>
      <c r="E10" s="218" t="s">
        <v>414</v>
      </c>
      <c r="F10" s="218" t="s">
        <v>416</v>
      </c>
      <c r="G10" s="218" t="s">
        <v>415</v>
      </c>
      <c r="J10" s="222"/>
    </row>
    <row r="11" spans="2:10" x14ac:dyDescent="0.25">
      <c r="C11" s="224"/>
      <c r="D11" s="180">
        <v>2435877</v>
      </c>
      <c r="E11" s="180">
        <v>1920822</v>
      </c>
      <c r="F11" s="180">
        <v>3888768</v>
      </c>
      <c r="G11" s="180">
        <v>334182</v>
      </c>
      <c r="J11" s="223">
        <f>D11+E11+F11+G11</f>
        <v>8579649</v>
      </c>
    </row>
    <row r="12" spans="2:10" x14ac:dyDescent="0.25">
      <c r="C12" s="224"/>
      <c r="D12" s="221" t="str">
        <f>D7</f>
        <v>RATA - RATA</v>
      </c>
      <c r="E12" s="221">
        <f>J11/4</f>
        <v>2144912.25</v>
      </c>
      <c r="J12" s="222"/>
    </row>
    <row r="13" spans="2:10" x14ac:dyDescent="0.25">
      <c r="C13" s="224"/>
      <c r="J13" s="222"/>
    </row>
    <row r="14" spans="2:10" x14ac:dyDescent="0.25">
      <c r="C14" s="224">
        <v>3</v>
      </c>
      <c r="D14" s="190" t="s">
        <v>418</v>
      </c>
      <c r="J14" s="222"/>
    </row>
    <row r="15" spans="2:10" x14ac:dyDescent="0.25">
      <c r="C15" s="224"/>
      <c r="D15" s="218" t="s">
        <v>413</v>
      </c>
      <c r="E15" s="218" t="s">
        <v>414</v>
      </c>
      <c r="F15" s="218" t="s">
        <v>416</v>
      </c>
      <c r="G15" s="218" t="s">
        <v>415</v>
      </c>
      <c r="J15" s="222"/>
    </row>
    <row r="16" spans="2:10" x14ac:dyDescent="0.25">
      <c r="C16" s="224"/>
      <c r="F16" s="180">
        <v>534737</v>
      </c>
      <c r="G16" s="180">
        <v>5540809</v>
      </c>
      <c r="J16" s="222">
        <f>F16+G16</f>
        <v>6075546</v>
      </c>
    </row>
    <row r="17" spans="3:10" x14ac:dyDescent="0.25">
      <c r="C17" s="224"/>
      <c r="D17" s="221" t="str">
        <f>D12</f>
        <v>RATA - RATA</v>
      </c>
      <c r="E17" s="180">
        <f>J16/2</f>
        <v>3037773</v>
      </c>
      <c r="J17" s="222"/>
    </row>
    <row r="18" spans="3:10" x14ac:dyDescent="0.25">
      <c r="C18" s="224"/>
      <c r="J18" s="222"/>
    </row>
    <row r="19" spans="3:10" x14ac:dyDescent="0.25">
      <c r="C19" s="224">
        <v>4</v>
      </c>
      <c r="D19" s="190" t="s">
        <v>419</v>
      </c>
      <c r="J19" s="222"/>
    </row>
    <row r="20" spans="3:10" x14ac:dyDescent="0.25">
      <c r="C20" s="224"/>
      <c r="D20" s="218" t="s">
        <v>413</v>
      </c>
      <c r="E20" s="218" t="s">
        <v>414</v>
      </c>
      <c r="F20" s="218" t="s">
        <v>416</v>
      </c>
      <c r="G20" s="218" t="s">
        <v>415</v>
      </c>
      <c r="J20" s="222"/>
    </row>
    <row r="21" spans="3:10" x14ac:dyDescent="0.25">
      <c r="C21" s="224"/>
      <c r="F21" s="180">
        <v>125647284</v>
      </c>
      <c r="J21" s="222"/>
    </row>
    <row r="22" spans="3:10" x14ac:dyDescent="0.25">
      <c r="C22" s="224"/>
      <c r="J22" s="222"/>
    </row>
    <row r="23" spans="3:10" x14ac:dyDescent="0.25">
      <c r="C23" s="224"/>
      <c r="J23" s="222"/>
    </row>
    <row r="24" spans="3:10" x14ac:dyDescent="0.25">
      <c r="C24" s="224">
        <v>5</v>
      </c>
      <c r="D24" s="190" t="s">
        <v>420</v>
      </c>
      <c r="J24" s="222"/>
    </row>
    <row r="25" spans="3:10" x14ac:dyDescent="0.25">
      <c r="C25" s="224"/>
      <c r="D25" s="218" t="s">
        <v>413</v>
      </c>
      <c r="E25" s="218" t="s">
        <v>414</v>
      </c>
      <c r="F25" s="218" t="s">
        <v>416</v>
      </c>
      <c r="G25" s="218" t="s">
        <v>415</v>
      </c>
      <c r="J25" s="222"/>
    </row>
    <row r="26" spans="3:10" x14ac:dyDescent="0.25">
      <c r="C26" s="224"/>
      <c r="D26" s="180">
        <v>52122</v>
      </c>
      <c r="E26" s="180">
        <v>11530369</v>
      </c>
      <c r="F26" s="180">
        <v>66814</v>
      </c>
      <c r="G26" s="180">
        <v>11608859</v>
      </c>
      <c r="J26" s="223">
        <f>D26+E26+F26+G26</f>
        <v>23258164</v>
      </c>
    </row>
    <row r="27" spans="3:10" x14ac:dyDescent="0.25">
      <c r="C27" s="224"/>
      <c r="D27" s="221" t="str">
        <f>D17</f>
        <v>RATA - RATA</v>
      </c>
      <c r="E27" s="221">
        <f>J26/4</f>
        <v>5814541</v>
      </c>
      <c r="J27" s="222"/>
    </row>
    <row r="28" spans="3:10" x14ac:dyDescent="0.25">
      <c r="C28" s="224"/>
      <c r="J28" s="222"/>
    </row>
    <row r="29" spans="3:10" x14ac:dyDescent="0.25">
      <c r="C29" s="224">
        <v>7</v>
      </c>
      <c r="D29" s="190" t="s">
        <v>421</v>
      </c>
      <c r="J29" s="222"/>
    </row>
    <row r="30" spans="3:10" x14ac:dyDescent="0.25">
      <c r="D30" s="218" t="s">
        <v>413</v>
      </c>
      <c r="E30" s="218" t="s">
        <v>414</v>
      </c>
      <c r="F30" s="218" t="s">
        <v>416</v>
      </c>
      <c r="G30" s="218" t="s">
        <v>415</v>
      </c>
      <c r="J30" s="222"/>
    </row>
    <row r="31" spans="3:10" x14ac:dyDescent="0.25">
      <c r="F31" s="180">
        <v>68479370</v>
      </c>
      <c r="G31" s="180">
        <v>73531220</v>
      </c>
      <c r="J31" s="222">
        <f>F31+G31</f>
        <v>142010590</v>
      </c>
    </row>
    <row r="32" spans="3:10" x14ac:dyDescent="0.25">
      <c r="D32" s="221" t="str">
        <f>D27</f>
        <v>RATA - RATA</v>
      </c>
      <c r="E32" s="180">
        <f>J31/2</f>
        <v>71005295</v>
      </c>
      <c r="J32" s="222"/>
    </row>
    <row r="33" spans="2:11" x14ac:dyDescent="0.25">
      <c r="J33" s="222"/>
    </row>
    <row r="34" spans="2:11" x14ac:dyDescent="0.25">
      <c r="D34" s="190" t="s">
        <v>423</v>
      </c>
      <c r="E34" s="190"/>
      <c r="F34" s="225">
        <f>J34/6</f>
        <v>46101164.708333336</v>
      </c>
      <c r="J34" s="223">
        <f>E32+E27+E17+E12+E7+F21</f>
        <v>276606988.25</v>
      </c>
    </row>
    <row r="35" spans="2:11" x14ac:dyDescent="0.25">
      <c r="B35" s="218"/>
      <c r="C35" s="218"/>
      <c r="D35" s="218"/>
      <c r="E35" s="218"/>
    </row>
    <row r="37" spans="2:11" x14ac:dyDescent="0.25">
      <c r="H37" s="227"/>
      <c r="I37" s="227"/>
      <c r="J37" s="227"/>
    </row>
    <row r="38" spans="2:11" x14ac:dyDescent="0.25">
      <c r="D38" s="29" t="s">
        <v>2</v>
      </c>
      <c r="E38" s="30"/>
      <c r="F38" s="29" t="s">
        <v>3</v>
      </c>
      <c r="G38" s="30"/>
      <c r="H38" s="37" t="s">
        <v>4</v>
      </c>
      <c r="I38" s="37"/>
      <c r="J38" s="37" t="s">
        <v>4</v>
      </c>
      <c r="K38" s="11"/>
    </row>
    <row r="39" spans="2:11" x14ac:dyDescent="0.25">
      <c r="D39" s="29"/>
      <c r="E39" s="30"/>
      <c r="F39" s="29"/>
      <c r="G39" s="30"/>
      <c r="H39" s="37"/>
      <c r="I39" s="37"/>
      <c r="J39" s="37"/>
      <c r="K39" s="11"/>
    </row>
    <row r="40" spans="2:11" x14ac:dyDescent="0.25">
      <c r="D40" s="33"/>
      <c r="E40" s="30"/>
      <c r="F40" s="33"/>
      <c r="G40" s="30"/>
      <c r="H40" s="37"/>
      <c r="I40" s="37"/>
      <c r="J40" s="37"/>
      <c r="K40" s="11"/>
    </row>
    <row r="41" spans="2:11" x14ac:dyDescent="0.25">
      <c r="D41" s="33"/>
      <c r="E41" s="30"/>
      <c r="F41" s="33"/>
      <c r="G41" s="30"/>
      <c r="H41" s="37"/>
      <c r="I41" s="37"/>
      <c r="J41" s="37"/>
      <c r="K41" s="11"/>
    </row>
    <row r="42" spans="2:11" x14ac:dyDescent="0.25">
      <c r="D42" s="181" t="s">
        <v>401</v>
      </c>
      <c r="E42" s="30"/>
      <c r="F42" s="31" t="s">
        <v>5</v>
      </c>
      <c r="G42" s="30"/>
      <c r="H42" s="37" t="s">
        <v>6</v>
      </c>
      <c r="I42" s="37"/>
      <c r="J42" s="37" t="s">
        <v>7</v>
      </c>
      <c r="K42" s="11"/>
    </row>
    <row r="43" spans="2:11" x14ac:dyDescent="0.25">
      <c r="D43" s="34" t="s">
        <v>8</v>
      </c>
      <c r="E43" s="30"/>
      <c r="F43" s="34" t="s">
        <v>9</v>
      </c>
      <c r="G43" s="30"/>
      <c r="H43" s="37" t="s">
        <v>10</v>
      </c>
      <c r="I43" s="37"/>
      <c r="J43" s="37" t="s">
        <v>11</v>
      </c>
      <c r="K43" s="11"/>
    </row>
    <row r="44" spans="2:11" x14ac:dyDescent="0.25">
      <c r="D44" s="30"/>
      <c r="E44" s="30"/>
      <c r="F44" s="30"/>
      <c r="G44" s="30"/>
      <c r="H44" s="37"/>
      <c r="I44" s="37"/>
      <c r="J44" s="37"/>
      <c r="K44" s="35"/>
    </row>
    <row r="45" spans="2:11" x14ac:dyDescent="0.25">
      <c r="C45" s="227"/>
      <c r="D45" s="37" t="s">
        <v>4</v>
      </c>
      <c r="E45" s="208"/>
      <c r="F45" s="37" t="s">
        <v>4</v>
      </c>
      <c r="G45" s="37"/>
      <c r="H45" s="37" t="s">
        <v>4</v>
      </c>
      <c r="I45" s="37"/>
      <c r="J45" s="37"/>
      <c r="K45" s="38"/>
    </row>
    <row r="46" spans="2:11" x14ac:dyDescent="0.25">
      <c r="C46" s="227"/>
      <c r="D46" s="37"/>
      <c r="E46" s="37"/>
      <c r="F46" s="37"/>
      <c r="G46" s="37"/>
      <c r="H46" s="37"/>
      <c r="I46" s="37"/>
      <c r="J46" s="37"/>
      <c r="K46" s="38"/>
    </row>
    <row r="47" spans="2:11" x14ac:dyDescent="0.25">
      <c r="C47" s="227"/>
      <c r="D47" s="37"/>
      <c r="E47" s="37"/>
      <c r="F47" s="37"/>
      <c r="G47" s="37"/>
      <c r="H47" s="37"/>
      <c r="I47" s="37"/>
      <c r="J47" s="37"/>
      <c r="K47" s="38"/>
    </row>
    <row r="48" spans="2:11" x14ac:dyDescent="0.25">
      <c r="C48" s="227"/>
      <c r="D48" s="37"/>
      <c r="E48" s="37"/>
      <c r="F48" s="37"/>
      <c r="G48" s="37"/>
      <c r="H48" s="37"/>
      <c r="I48" s="37"/>
      <c r="J48" s="37"/>
      <c r="K48" s="38"/>
    </row>
    <row r="49" spans="3:11" x14ac:dyDescent="0.25">
      <c r="C49" s="227"/>
      <c r="D49" s="37" t="s">
        <v>64</v>
      </c>
      <c r="E49" s="208"/>
      <c r="F49" s="37" t="s">
        <v>99</v>
      </c>
      <c r="G49" s="37"/>
      <c r="H49" s="37" t="s">
        <v>100</v>
      </c>
      <c r="I49" s="37"/>
      <c r="J49" s="37"/>
      <c r="K49" s="44"/>
    </row>
    <row r="50" spans="3:11" x14ac:dyDescent="0.25">
      <c r="C50" s="227"/>
      <c r="D50" s="37" t="s">
        <v>12</v>
      </c>
      <c r="E50" s="208"/>
      <c r="F50" s="37" t="s">
        <v>98</v>
      </c>
      <c r="G50" s="37"/>
      <c r="H50" s="37" t="s">
        <v>98</v>
      </c>
      <c r="I50" s="37"/>
      <c r="J50" s="37"/>
      <c r="K50" s="44"/>
    </row>
    <row r="51" spans="3:11" x14ac:dyDescent="0.25">
      <c r="C51" s="227"/>
      <c r="D51" s="227"/>
      <c r="E51" s="227"/>
      <c r="F51" s="227"/>
      <c r="G51" s="227"/>
      <c r="H51" s="227"/>
      <c r="I51" s="222"/>
      <c r="J51" s="222"/>
    </row>
  </sheetData>
  <mergeCells count="1">
    <mergeCell ref="B2:H2"/>
  </mergeCells>
  <pageMargins left="0.70866141732283472" right="0.70866141732283472" top="0.74803149606299213" bottom="0.74803149606299213" header="0.31496062992125984" footer="0.31496062992125984"/>
  <pageSetup paperSize="9" scale="70"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45"/>
  <sheetViews>
    <sheetView topLeftCell="A21" workbookViewId="0">
      <selection activeCell="J42" sqref="J42:K42"/>
    </sheetView>
  </sheetViews>
  <sheetFormatPr defaultRowHeight="15" x14ac:dyDescent="0.25"/>
  <cols>
    <col min="1" max="1" width="10.85546875" customWidth="1"/>
    <col min="3" max="3" width="7.85546875" customWidth="1"/>
    <col min="4" max="4" width="9" customWidth="1"/>
    <col min="6" max="6" width="7.85546875" customWidth="1"/>
    <col min="9" max="9" width="8.7109375" customWidth="1"/>
    <col min="10" max="10" width="9" customWidth="1"/>
    <col min="11" max="11" width="9.42578125" customWidth="1"/>
  </cols>
  <sheetData>
    <row r="1" spans="1:11" ht="18.75" x14ac:dyDescent="0.3">
      <c r="A1" s="1071" t="s">
        <v>0</v>
      </c>
      <c r="B1" s="1071"/>
      <c r="C1" s="1071"/>
      <c r="D1" s="1071"/>
      <c r="E1" s="1071"/>
      <c r="F1" s="1071"/>
      <c r="G1" s="1071"/>
      <c r="H1" s="1071"/>
      <c r="I1" s="1071"/>
      <c r="J1" s="1071"/>
      <c r="K1" s="1071"/>
    </row>
    <row r="3" spans="1:11" ht="15.75" x14ac:dyDescent="0.25">
      <c r="A3" s="1072" t="s">
        <v>337</v>
      </c>
      <c r="B3" s="1072"/>
      <c r="C3" s="1072"/>
      <c r="D3" s="1072"/>
      <c r="E3" s="1072"/>
      <c r="F3" s="1072"/>
      <c r="G3" s="1072"/>
      <c r="H3" s="1072"/>
      <c r="I3" s="1072"/>
      <c r="J3" s="1072"/>
      <c r="K3" s="1072"/>
    </row>
    <row r="4" spans="1:11" x14ac:dyDescent="0.25">
      <c r="A4" s="123"/>
      <c r="B4" s="92" t="s">
        <v>338</v>
      </c>
      <c r="C4" s="92"/>
      <c r="F4" s="124" t="s">
        <v>339</v>
      </c>
      <c r="G4" s="124"/>
      <c r="H4" s="124"/>
      <c r="I4" s="1058" t="s">
        <v>340</v>
      </c>
      <c r="J4" s="1058"/>
      <c r="K4" s="1058"/>
    </row>
    <row r="5" spans="1:11" ht="15.75" thickBot="1" x14ac:dyDescent="0.3">
      <c r="A5" s="118"/>
      <c r="B5" s="118"/>
      <c r="C5" s="118"/>
      <c r="D5" s="118"/>
      <c r="E5" s="118"/>
      <c r="F5" s="118"/>
      <c r="G5" s="118"/>
      <c r="H5" s="92"/>
    </row>
    <row r="6" spans="1:11" ht="15.75" thickBot="1" x14ac:dyDescent="0.3">
      <c r="A6" s="1073" t="s">
        <v>226</v>
      </c>
      <c r="B6" s="1074"/>
      <c r="C6" s="1074"/>
      <c r="D6" s="1074"/>
      <c r="E6" s="1074"/>
      <c r="F6" s="1074"/>
      <c r="G6" s="1074"/>
      <c r="H6" s="1074"/>
      <c r="I6" s="1074"/>
      <c r="J6" s="1074"/>
      <c r="K6" s="1075"/>
    </row>
    <row r="9" spans="1:11" x14ac:dyDescent="0.25">
      <c r="A9" t="s">
        <v>341</v>
      </c>
      <c r="D9" s="119" t="s">
        <v>63</v>
      </c>
      <c r="E9" s="120"/>
      <c r="F9" s="120"/>
      <c r="G9" s="120"/>
      <c r="H9" s="120"/>
      <c r="I9" s="120"/>
      <c r="J9" s="120"/>
      <c r="K9" s="1"/>
    </row>
    <row r="10" spans="1:11" x14ac:dyDescent="0.25">
      <c r="A10" t="s">
        <v>342</v>
      </c>
      <c r="D10" s="119" t="s">
        <v>63</v>
      </c>
      <c r="E10" s="120" t="str">
        <f>'DATA AWAL NASABAH'!B2</f>
        <v>DYAH RETNO SULISTYOWATI</v>
      </c>
      <c r="F10" s="120"/>
      <c r="G10" s="120"/>
      <c r="H10" s="120"/>
      <c r="I10" s="120"/>
      <c r="J10" s="120"/>
      <c r="K10" s="1"/>
    </row>
    <row r="11" spans="1:11" x14ac:dyDescent="0.25">
      <c r="A11" t="s">
        <v>343</v>
      </c>
      <c r="D11" s="119" t="s">
        <v>63</v>
      </c>
      <c r="E11" s="120" t="str">
        <f>'DATA AWAL NASABAH'!B2</f>
        <v>DYAH RETNO SULISTYOWATI</v>
      </c>
      <c r="F11" s="120"/>
      <c r="G11" s="120"/>
      <c r="H11" s="120"/>
      <c r="I11" s="120"/>
      <c r="J11" s="120"/>
      <c r="K11" s="1"/>
    </row>
    <row r="12" spans="1:11" x14ac:dyDescent="0.25">
      <c r="A12" t="s">
        <v>344</v>
      </c>
      <c r="D12" s="119" t="s">
        <v>63</v>
      </c>
      <c r="F12" s="1076" t="s">
        <v>345</v>
      </c>
      <c r="G12" s="1076"/>
      <c r="I12" s="1076" t="s">
        <v>231</v>
      </c>
      <c r="J12" s="1076"/>
    </row>
    <row r="13" spans="1:11" x14ac:dyDescent="0.25">
      <c r="A13" t="s">
        <v>232</v>
      </c>
      <c r="D13" s="119" t="s">
        <v>63</v>
      </c>
      <c r="E13" s="120" t="str">
        <f>'DATA AWAL NASABAH'!B3</f>
        <v>WONOSOBO, 19-04-1978</v>
      </c>
      <c r="F13" s="120"/>
      <c r="G13" s="120"/>
      <c r="H13" s="120"/>
      <c r="I13" s="120"/>
      <c r="J13" s="120"/>
      <c r="K13" s="1"/>
    </row>
    <row r="14" spans="1:11" x14ac:dyDescent="0.25">
      <c r="A14" t="s">
        <v>346</v>
      </c>
      <c r="D14" s="119" t="s">
        <v>63</v>
      </c>
      <c r="E14" s="120" t="str">
        <f>'DATA AWAL NASABAH'!B22</f>
        <v>SRI MURTINI</v>
      </c>
      <c r="F14" s="120"/>
      <c r="G14" s="120"/>
      <c r="H14" s="120"/>
      <c r="I14" s="120"/>
      <c r="J14" s="120"/>
      <c r="K14" s="1"/>
    </row>
    <row r="15" spans="1:11" x14ac:dyDescent="0.25">
      <c r="A15" t="s">
        <v>234</v>
      </c>
      <c r="D15" s="119" t="s">
        <v>63</v>
      </c>
      <c r="F15" t="s">
        <v>347</v>
      </c>
      <c r="H15" t="s">
        <v>236</v>
      </c>
      <c r="J15" t="s">
        <v>348</v>
      </c>
    </row>
    <row r="16" spans="1:11" x14ac:dyDescent="0.25">
      <c r="A16" t="s">
        <v>349</v>
      </c>
      <c r="D16" s="119" t="s">
        <v>63</v>
      </c>
      <c r="F16" t="s">
        <v>238</v>
      </c>
      <c r="H16" t="s">
        <v>239</v>
      </c>
      <c r="J16" t="s">
        <v>240</v>
      </c>
    </row>
    <row r="17" spans="1:11" x14ac:dyDescent="0.25">
      <c r="D17" s="119"/>
      <c r="F17" t="s">
        <v>350</v>
      </c>
    </row>
    <row r="18" spans="1:11" x14ac:dyDescent="0.25">
      <c r="A18" t="s">
        <v>241</v>
      </c>
      <c r="D18" s="119" t="s">
        <v>63</v>
      </c>
      <c r="E18" s="1079" t="str">
        <f>'DATA AWAL NASABAH'!B16</f>
        <v>3307095904780003</v>
      </c>
      <c r="F18" s="1079"/>
      <c r="G18" s="120"/>
      <c r="H18" s="120"/>
      <c r="I18" s="120"/>
      <c r="J18" s="120"/>
      <c r="K18" s="1"/>
    </row>
    <row r="19" spans="1:11" x14ac:dyDescent="0.25">
      <c r="A19" t="s">
        <v>351</v>
      </c>
      <c r="D19" s="119" t="s">
        <v>63</v>
      </c>
      <c r="E19" s="187" t="str">
        <f>'DATA AWAL NASABAH'!B15</f>
        <v>0811261088</v>
      </c>
      <c r="F19" s="120"/>
      <c r="G19" s="120"/>
      <c r="H19" s="120"/>
      <c r="I19" s="120"/>
      <c r="J19" s="120"/>
      <c r="K19" s="1"/>
    </row>
    <row r="20" spans="1:11" x14ac:dyDescent="0.25">
      <c r="A20" t="s">
        <v>352</v>
      </c>
      <c r="D20" s="119" t="s">
        <v>63</v>
      </c>
      <c r="E20" s="120" t="str">
        <f>'DATA AWAL NASABAH'!B12</f>
        <v>JARAKSARI</v>
      </c>
      <c r="F20" s="120"/>
      <c r="G20" s="120"/>
      <c r="H20" s="120"/>
      <c r="I20" s="120"/>
      <c r="J20" s="120"/>
      <c r="K20" s="1"/>
    </row>
    <row r="21" spans="1:11" x14ac:dyDescent="0.25">
      <c r="A21" t="s">
        <v>89</v>
      </c>
      <c r="D21" s="119" t="s">
        <v>63</v>
      </c>
      <c r="E21" s="120" t="str">
        <f>'DATA AWAL NASABAH'!B14</f>
        <v>WONOSOBO</v>
      </c>
      <c r="F21" s="120"/>
      <c r="G21" s="120"/>
      <c r="H21" s="120"/>
      <c r="I21" s="120"/>
      <c r="J21" s="120"/>
      <c r="K21" s="1"/>
    </row>
    <row r="22" spans="1:11" x14ac:dyDescent="0.25">
      <c r="A22" t="s">
        <v>353</v>
      </c>
      <c r="D22" s="119" t="s">
        <v>63</v>
      </c>
      <c r="E22" s="120" t="str">
        <f>E20</f>
        <v>JARAKSARI</v>
      </c>
      <c r="F22" s="120"/>
      <c r="G22" s="120"/>
      <c r="H22" s="120"/>
      <c r="I22" s="120"/>
      <c r="J22" s="120"/>
      <c r="K22" s="1"/>
    </row>
    <row r="23" spans="1:11" x14ac:dyDescent="0.25">
      <c r="A23" t="s">
        <v>89</v>
      </c>
      <c r="D23" s="119" t="s">
        <v>63</v>
      </c>
      <c r="E23" s="120" t="str">
        <f>E21</f>
        <v>WONOSOBO</v>
      </c>
      <c r="F23" s="120"/>
      <c r="G23" s="120"/>
      <c r="H23" s="120"/>
      <c r="I23" s="120"/>
      <c r="J23" s="120"/>
      <c r="K23" s="1"/>
    </row>
    <row r="24" spans="1:11" x14ac:dyDescent="0.25">
      <c r="A24" t="s">
        <v>354</v>
      </c>
      <c r="D24" s="119" t="s">
        <v>63</v>
      </c>
      <c r="E24" s="120"/>
      <c r="F24" s="120"/>
      <c r="G24" s="120"/>
      <c r="H24" s="120"/>
      <c r="I24" s="120"/>
      <c r="J24" s="120"/>
      <c r="K24" s="1"/>
    </row>
    <row r="25" spans="1:11" x14ac:dyDescent="0.25">
      <c r="A25" t="s">
        <v>355</v>
      </c>
      <c r="D25" s="119" t="s">
        <v>63</v>
      </c>
      <c r="F25" t="s">
        <v>356</v>
      </c>
      <c r="H25" t="s">
        <v>357</v>
      </c>
      <c r="J25" t="s">
        <v>248</v>
      </c>
    </row>
    <row r="26" spans="1:11" x14ac:dyDescent="0.25">
      <c r="F26" t="s">
        <v>358</v>
      </c>
    </row>
    <row r="27" spans="1:11" x14ac:dyDescent="0.25">
      <c r="A27" t="s">
        <v>175</v>
      </c>
      <c r="D27" s="119" t="s">
        <v>63</v>
      </c>
      <c r="E27" s="1" t="str">
        <f>'DATA AWAL NASABAH'!B4</f>
        <v>PNS</v>
      </c>
      <c r="F27" s="1"/>
      <c r="G27" s="1"/>
      <c r="H27" s="1"/>
      <c r="I27" s="1"/>
      <c r="J27" s="1"/>
      <c r="K27" s="1"/>
    </row>
    <row r="28" spans="1:11" x14ac:dyDescent="0.25">
      <c r="A28" t="s">
        <v>330</v>
      </c>
    </row>
    <row r="35" spans="1:11" x14ac:dyDescent="0.25">
      <c r="A35" s="102"/>
      <c r="B35" s="102"/>
      <c r="C35" s="97"/>
      <c r="D35" s="102"/>
      <c r="E35" s="102"/>
      <c r="F35" s="102"/>
      <c r="G35" s="102"/>
      <c r="H35" s="102"/>
      <c r="I35" s="102"/>
      <c r="K35" s="92"/>
    </row>
    <row r="36" spans="1:11" x14ac:dyDescent="0.25">
      <c r="A36" s="102"/>
      <c r="B36" s="102"/>
      <c r="C36" s="97"/>
      <c r="D36" s="102"/>
      <c r="E36" s="102"/>
      <c r="F36" s="102"/>
      <c r="G36" s="102" t="s">
        <v>331</v>
      </c>
      <c r="H36" s="102"/>
      <c r="I36" s="102"/>
    </row>
    <row r="37" spans="1:11" x14ac:dyDescent="0.25">
      <c r="A37" s="102"/>
      <c r="B37" s="102"/>
      <c r="C37" s="97"/>
      <c r="D37" s="102"/>
      <c r="E37" s="102"/>
      <c r="F37" s="102"/>
      <c r="G37" s="1078" t="s">
        <v>359</v>
      </c>
      <c r="H37" s="1078"/>
      <c r="I37" s="1078"/>
      <c r="J37" s="1078"/>
      <c r="K37" s="1078"/>
    </row>
    <row r="38" spans="1:11" x14ac:dyDescent="0.25">
      <c r="A38" s="102"/>
      <c r="B38" s="102"/>
      <c r="C38" s="97"/>
      <c r="D38" s="102"/>
      <c r="E38" s="102"/>
      <c r="F38" s="102"/>
      <c r="G38" s="102"/>
      <c r="H38" s="102"/>
      <c r="I38" s="102"/>
    </row>
    <row r="39" spans="1:11" x14ac:dyDescent="0.25">
      <c r="A39" s="102"/>
      <c r="B39" s="102"/>
      <c r="C39" s="97"/>
      <c r="D39" s="102"/>
      <c r="E39" s="102"/>
      <c r="F39" s="102"/>
      <c r="G39" s="102"/>
      <c r="H39" s="102"/>
      <c r="I39" s="102"/>
    </row>
    <row r="40" spans="1:11" x14ac:dyDescent="0.25">
      <c r="A40" s="102"/>
      <c r="B40" s="102"/>
      <c r="C40" s="97"/>
      <c r="D40" s="102"/>
      <c r="E40" s="102"/>
      <c r="F40" s="102"/>
      <c r="G40" s="102"/>
      <c r="H40" s="102"/>
      <c r="I40" s="102"/>
      <c r="K40" s="121"/>
    </row>
    <row r="41" spans="1:11" x14ac:dyDescent="0.25">
      <c r="A41" s="885" t="str">
        <f>'DATA AWAL NASABAH'!B2</f>
        <v>DYAH RETNO SULISTYOWATI</v>
      </c>
      <c r="B41" s="885"/>
      <c r="C41" s="97"/>
      <c r="D41" s="885" t="str">
        <f>'DATA AWAL NASABAH'!B30</f>
        <v>ADRIAN WAHYU P</v>
      </c>
      <c r="E41" s="885"/>
      <c r="F41" s="102"/>
      <c r="G41" s="885" t="s">
        <v>504</v>
      </c>
      <c r="H41" s="885"/>
      <c r="I41" s="115"/>
      <c r="J41" s="1077" t="s">
        <v>505</v>
      </c>
      <c r="K41" s="1077"/>
    </row>
    <row r="42" spans="1:11" x14ac:dyDescent="0.25">
      <c r="A42" s="879" t="s">
        <v>332</v>
      </c>
      <c r="B42" s="879"/>
      <c r="C42" s="97"/>
      <c r="D42" s="879" t="s">
        <v>334</v>
      </c>
      <c r="E42" s="879"/>
      <c r="F42" s="102"/>
      <c r="G42" s="879" t="s">
        <v>335</v>
      </c>
      <c r="H42" s="879"/>
      <c r="I42" s="115"/>
      <c r="J42" s="879" t="s">
        <v>336</v>
      </c>
      <c r="K42" s="879"/>
    </row>
    <row r="43" spans="1:11" x14ac:dyDescent="0.25">
      <c r="A43" s="102"/>
      <c r="B43" s="102"/>
      <c r="C43" s="97"/>
      <c r="D43" s="102"/>
      <c r="E43" s="102"/>
      <c r="F43" s="102"/>
      <c r="G43" s="102"/>
      <c r="H43" s="102"/>
      <c r="I43" s="102"/>
    </row>
    <row r="44" spans="1:11" x14ac:dyDescent="0.25">
      <c r="A44" s="102"/>
      <c r="B44" s="102"/>
      <c r="C44" s="97"/>
      <c r="D44" s="102"/>
      <c r="E44" s="102"/>
      <c r="F44" s="102"/>
      <c r="G44" s="102"/>
      <c r="H44" s="102"/>
      <c r="I44" s="102"/>
    </row>
    <row r="45" spans="1:11" x14ac:dyDescent="0.25">
      <c r="C45" s="93"/>
    </row>
  </sheetData>
  <mergeCells count="16">
    <mergeCell ref="A42:B42"/>
    <mergeCell ref="D42:E42"/>
    <mergeCell ref="G42:H42"/>
    <mergeCell ref="J42:K42"/>
    <mergeCell ref="A1:K1"/>
    <mergeCell ref="A3:K3"/>
    <mergeCell ref="I4:K4"/>
    <mergeCell ref="A6:K6"/>
    <mergeCell ref="F12:G12"/>
    <mergeCell ref="I12:J12"/>
    <mergeCell ref="A41:B41"/>
    <mergeCell ref="D41:E41"/>
    <mergeCell ref="G41:H41"/>
    <mergeCell ref="J41:K41"/>
    <mergeCell ref="G37:K37"/>
    <mergeCell ref="E18:F18"/>
  </mergeCells>
  <pageMargins left="0.4" right="0.16" top="0.75" bottom="0.75" header="0.3" footer="0.3"/>
  <pageSetup paperSize="9" orientation="portrait" horizontalDpi="4294967293"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E10:I16"/>
  <sheetViews>
    <sheetView workbookViewId="0">
      <selection activeCell="O16" sqref="O16"/>
    </sheetView>
  </sheetViews>
  <sheetFormatPr defaultRowHeight="15" x14ac:dyDescent="0.25"/>
  <cols>
    <col min="5" max="5" width="12.5703125" bestFit="1" customWidth="1"/>
    <col min="6" max="6" width="13.140625" customWidth="1"/>
    <col min="9" max="9" width="12.5703125" bestFit="1" customWidth="1"/>
  </cols>
  <sheetData>
    <row r="10" spans="5:9" x14ac:dyDescent="0.25">
      <c r="E10" s="180"/>
      <c r="F10" s="180"/>
      <c r="G10" s="180"/>
      <c r="H10" s="180"/>
    </row>
    <row r="11" spans="5:9" x14ac:dyDescent="0.25">
      <c r="E11" s="180"/>
      <c r="F11" s="180"/>
      <c r="G11" s="180"/>
      <c r="H11" s="180"/>
    </row>
    <row r="12" spans="5:9" x14ac:dyDescent="0.25">
      <c r="E12" s="180">
        <v>225000000</v>
      </c>
      <c r="F12" s="180"/>
      <c r="G12" s="180"/>
      <c r="H12" s="180"/>
      <c r="I12" s="180"/>
    </row>
    <row r="13" spans="5:9" x14ac:dyDescent="0.25">
      <c r="E13" s="226">
        <v>1.4E-2</v>
      </c>
      <c r="F13" s="180"/>
      <c r="G13" s="180"/>
      <c r="H13" s="180"/>
      <c r="I13" s="180"/>
    </row>
    <row r="14" spans="5:9" x14ac:dyDescent="0.25">
      <c r="E14" s="180">
        <f>E12*E13</f>
        <v>3150000</v>
      </c>
      <c r="F14" s="180"/>
      <c r="G14" s="180"/>
      <c r="H14" s="180"/>
      <c r="I14" s="180"/>
    </row>
    <row r="15" spans="5:9" x14ac:dyDescent="0.25">
      <c r="E15" s="180"/>
      <c r="F15" s="180"/>
      <c r="G15" s="180"/>
      <c r="H15" s="180"/>
    </row>
    <row r="16" spans="5:9" x14ac:dyDescent="0.25">
      <c r="E16" s="180"/>
      <c r="F16" s="180"/>
      <c r="G16" s="180"/>
      <c r="H16" s="18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18</vt:i4>
      </vt:variant>
    </vt:vector>
  </HeadingPairs>
  <TitlesOfParts>
    <vt:vector size="39" baseType="lpstr">
      <vt:lpstr>DATA AWAL NASABAH</vt:lpstr>
      <vt:lpstr>ANALISIS</vt:lpstr>
      <vt:lpstr>KOMITE TEMPO MENURUN</vt:lpstr>
      <vt:lpstr>KOMITE TEMPO</vt:lpstr>
      <vt:lpstr>KOMITE FLAT</vt:lpstr>
      <vt:lpstr>ADENDUM</vt:lpstr>
      <vt:lpstr>KOMITE ANUITAS</vt:lpstr>
      <vt:lpstr>TANAH BANGUNAN</vt:lpstr>
      <vt:lpstr>KENDARAAN</vt:lpstr>
      <vt:lpstr>KIOS</vt:lpstr>
      <vt:lpstr>CDD TDK SDRHN</vt:lpstr>
      <vt:lpstr>PEMANTAUAN JULI 24</vt:lpstr>
      <vt:lpstr>NERACA</vt:lpstr>
      <vt:lpstr>6 C</vt:lpstr>
      <vt:lpstr>SCORE</vt:lpstr>
      <vt:lpstr>DENAH RUMAH</vt:lpstr>
      <vt:lpstr>BA NEGOSIASI</vt:lpstr>
      <vt:lpstr>DEPOSITO</vt:lpstr>
      <vt:lpstr>CASH FLOW</vt:lpstr>
      <vt:lpstr>CDD SDHRN</vt:lpstr>
      <vt:lpstr>Sheet3</vt:lpstr>
      <vt:lpstr>'6 C'!Print_Area</vt:lpstr>
      <vt:lpstr>ADENDUM!Print_Area</vt:lpstr>
      <vt:lpstr>ANALISIS!Print_Area</vt:lpstr>
      <vt:lpstr>'BA NEGOSIASI'!Print_Area</vt:lpstr>
      <vt:lpstr>'CASH FLOW'!Print_Area</vt:lpstr>
      <vt:lpstr>'CDD TDK SDRHN'!Print_Area</vt:lpstr>
      <vt:lpstr>'DENAH RUMAH'!Print_Area</vt:lpstr>
      <vt:lpstr>DEPOSITO!Print_Area</vt:lpstr>
      <vt:lpstr>KENDARAAN!Print_Area</vt:lpstr>
      <vt:lpstr>KIOS!Print_Area</vt:lpstr>
      <vt:lpstr>'KOMITE ANUITAS'!Print_Area</vt:lpstr>
      <vt:lpstr>'KOMITE FLAT'!Print_Area</vt:lpstr>
      <vt:lpstr>'KOMITE TEMPO'!Print_Area</vt:lpstr>
      <vt:lpstr>'KOMITE TEMPO MENURUN'!Print_Area</vt:lpstr>
      <vt:lpstr>NERACA!Print_Area</vt:lpstr>
      <vt:lpstr>'PEMANTAUAN JULI 24'!Print_Area</vt:lpstr>
      <vt:lpstr>SCORE!Print_Area</vt:lpstr>
      <vt:lpstr>'TANAH BANGUNAN'!Print_Area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2025-06-25T02:22:07Z</cp:lastPrinted>
  <dcterms:created xsi:type="dcterms:W3CDTF">2013-05-01T07:01:59Z</dcterms:created>
  <dcterms:modified xsi:type="dcterms:W3CDTF">2025-11-26T11:37:44Z</dcterms:modified>
</cp:coreProperties>
</file>